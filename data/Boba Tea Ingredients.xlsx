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mascon0-my.sharepoint.com/personal/max_tang_mascon_com/Documents/Desktop/"/>
    </mc:Choice>
  </mc:AlternateContent>
  <xr:revisionPtr revIDLastSave="0" documentId="8_{90D304A4-110D-4B51-8A71-C0CFC939A701}" xr6:coauthVersionLast="47" xr6:coauthVersionMax="47" xr10:uidLastSave="{00000000-0000-0000-0000-000000000000}"/>
  <bookViews>
    <workbookView xWindow="38280" yWindow="-960" windowWidth="38640" windowHeight="21120" xr2:uid="{1AE2AFE8-21CF-4AEF-891C-C258939EEA8D}"/>
  </bookViews>
  <sheets>
    <sheet name="Template" sheetId="2" r:id="rId1"/>
    <sheet name="Calculation Sheet" sheetId="3" r:id="rId2"/>
  </sheets>
  <externalReferences>
    <externalReference r:id="rId3"/>
  </externalReferences>
  <definedNames>
    <definedName name="__IntlFixup">TRUE</definedName>
    <definedName name="_Order1">255</definedName>
    <definedName name="_Order2">255</definedName>
    <definedName name="banQL" localSheetId="1">{"'Sheet1'!$L$16"}</definedName>
    <definedName name="banQL">{"'Sheet1'!$L$16"}</definedName>
    <definedName name="h" localSheetId="1">{"'Sheet1'!$L$16"}</definedName>
    <definedName name="h">{"'Sheet1'!$L$16"}</definedName>
    <definedName name="HTML_CodePage">950</definedName>
    <definedName name="HTML_Control" localSheetId="1">{"'Sheet1'!$L$16"}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tbl_origin" localSheetId="1">Table1332[Origin]</definedName>
    <definedName name="tbl_origi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7" i="3" l="1"/>
  <c r="F29" i="3"/>
  <c r="K23" i="3"/>
  <c r="M23" i="3" s="1"/>
  <c r="F12" i="3"/>
  <c r="O10" i="3"/>
  <c r="I6" i="3"/>
  <c r="F6" i="3"/>
  <c r="F8" i="3" s="1"/>
  <c r="F3" i="3"/>
  <c r="G12" i="3" l="1"/>
  <c r="G29" i="3"/>
  <c r="H29" i="3" s="1"/>
  <c r="I29" i="3" s="1"/>
  <c r="K29" i="3" s="1"/>
  <c r="B3" i="3" l="1"/>
  <c r="B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Ian Chang</author>
  </authors>
  <commentList>
    <comment ref="G19" authorId="0" shapeId="0" xr:uid="{E3A18FAC-42D4-41B6-A7DF-E1E60D3B539B}">
      <text>
        <r>
          <rPr>
            <b/>
            <sz val="9"/>
            <color indexed="81"/>
            <rFont val="Tahoma"/>
            <family val="2"/>
          </rPr>
          <t>Ian Chang:</t>
        </r>
        <r>
          <rPr>
            <sz val="9"/>
            <color indexed="81"/>
            <rFont val="Tahoma"/>
            <family val="2"/>
          </rPr>
          <t xml:space="preserve">
= 0 to calculate light goods
</t>
        </r>
      </text>
    </comment>
    <comment ref="J23" authorId="0" shapeId="0" xr:uid="{282A11E6-3F36-4182-8F8B-4A0FF32F022D}">
      <text>
        <r>
          <rPr>
            <b/>
            <sz val="9"/>
            <color indexed="81"/>
            <rFont val="Tahoma"/>
            <family val="2"/>
          </rPr>
          <t>Ian Chang:</t>
        </r>
        <r>
          <rPr>
            <sz val="9"/>
            <color indexed="81"/>
            <rFont val="Tahoma"/>
            <family val="2"/>
          </rPr>
          <t xml:space="preserve">
Guesstimated</t>
        </r>
      </text>
    </comment>
    <comment ref="H56" authorId="0" shapeId="0" xr:uid="{3560DB2C-294C-4B36-BA98-6C3C4C601675}">
      <text>
        <r>
          <rPr>
            <b/>
            <sz val="9"/>
            <color indexed="81"/>
            <rFont val="Tahoma"/>
            <family val="2"/>
          </rPr>
          <t>Ian Chang:</t>
        </r>
        <r>
          <rPr>
            <sz val="9"/>
            <color indexed="81"/>
            <rFont val="Tahoma"/>
            <family val="2"/>
          </rPr>
          <t xml:space="preserve">
以4CBM算公斤
雜費除以公斤
=每公斤的雜費</t>
        </r>
      </text>
    </comment>
  </commentList>
</comments>
</file>

<file path=xl/sharedStrings.xml><?xml version="1.0" encoding="utf-8"?>
<sst xmlns="http://schemas.openxmlformats.org/spreadsheetml/2006/main" count="126" uniqueCount="105">
  <si>
    <t>Basic Info</t>
  </si>
  <si>
    <t>Origin</t>
  </si>
  <si>
    <t>CN</t>
  </si>
  <si>
    <t>Case Width (cm)</t>
  </si>
  <si>
    <t>Case Depth (cm)</t>
  </si>
  <si>
    <t>Piece Quantity</t>
  </si>
  <si>
    <t>Case Height (cm)</t>
  </si>
  <si>
    <t>Weight CBM</t>
  </si>
  <si>
    <t>Case Quantity</t>
  </si>
  <si>
    <t>Dimension CBM</t>
  </si>
  <si>
    <t>Actual CBM</t>
  </si>
  <si>
    <t>Variable Cost</t>
  </si>
  <si>
    <t>Ocean Freight</t>
  </si>
  <si>
    <t>Actual Unit Cost</t>
  </si>
  <si>
    <t>Actual Freight</t>
  </si>
  <si>
    <t>HK</t>
  </si>
  <si>
    <t>TW</t>
  </si>
  <si>
    <t xml:space="preserve">Ocean LCL </t>
  </si>
  <si>
    <t>20'</t>
  </si>
  <si>
    <t>40'</t>
  </si>
  <si>
    <t>Minimum</t>
  </si>
  <si>
    <t>Pier Unloading</t>
  </si>
  <si>
    <t>per 100 lbs</t>
  </si>
  <si>
    <t>Unit Cost</t>
  </si>
  <si>
    <t>LCL</t>
  </si>
  <si>
    <t>Gross Weight (lbs)</t>
  </si>
  <si>
    <t>Unit Price</t>
  </si>
  <si>
    <t>Total</t>
  </si>
  <si>
    <t>Maximum</t>
  </si>
  <si>
    <t>LB</t>
  </si>
  <si>
    <t>UB</t>
  </si>
  <si>
    <t>Fixed Cost</t>
  </si>
  <si>
    <t>Broker Charge</t>
  </si>
  <si>
    <t>Entry fee</t>
  </si>
  <si>
    <t>ISF</t>
  </si>
  <si>
    <t>Messenger</t>
  </si>
  <si>
    <t>Tariff auditing</t>
  </si>
  <si>
    <t>Tolls</t>
  </si>
  <si>
    <t>Other</t>
  </si>
  <si>
    <t>Parameters</t>
  </si>
  <si>
    <t>kg to lb</t>
  </si>
  <si>
    <t>Weight to CBM</t>
  </si>
  <si>
    <t>Fixed Misc. Per kg (&lt;4CBM)</t>
  </si>
  <si>
    <t xml:space="preserve"> </t>
  </si>
  <si>
    <t>5 Commonwealth Ave.</t>
  </si>
  <si>
    <t>Woburn, MA 01801, USA</t>
  </si>
  <si>
    <t>Alex Song</t>
  </si>
  <si>
    <t>ITEM</t>
  </si>
  <si>
    <t>DESCRIPTION</t>
  </si>
  <si>
    <t>By:</t>
  </si>
  <si>
    <t xml:space="preserve">Date: </t>
  </si>
  <si>
    <t>Container Size (foot)</t>
  </si>
  <si>
    <t>EstimatedTotal Freight Cost</t>
  </si>
  <si>
    <t>Total Weight (kg)</t>
  </si>
  <si>
    <t>CBM</t>
  </si>
  <si>
    <t>Freight per piece</t>
  </si>
  <si>
    <t>Unit Weight (kg)</t>
  </si>
  <si>
    <t>20 foot about 26 CBM</t>
  </si>
  <si>
    <t>40 foot about 47 CBM</t>
  </si>
  <si>
    <t>Ian updated note:
1. if CBM&lt;4, =4
2. If CBM over the size of container, error</t>
  </si>
  <si>
    <t>Red check with jean</t>
  </si>
  <si>
    <t>VN</t>
  </si>
  <si>
    <t>India</t>
  </si>
  <si>
    <t>Fixed Surcharge</t>
  </si>
  <si>
    <t>Actual Variable Cost</t>
  </si>
  <si>
    <t>Route BFT</t>
  </si>
  <si>
    <t>Actual</t>
  </si>
  <si>
    <t>Fuel Surcharge</t>
  </si>
  <si>
    <t>Actual with Fuel Surcharge</t>
  </si>
  <si>
    <t>Instruction</t>
  </si>
  <si>
    <t>Latest Updated Date</t>
  </si>
  <si>
    <t>Output</t>
  </si>
  <si>
    <t>User input</t>
  </si>
  <si>
    <t>Maintainer input</t>
  </si>
  <si>
    <r>
      <rPr>
        <sz val="10"/>
        <color rgb="FFFF0000"/>
        <rFont val="Arial"/>
        <family val="2"/>
      </rPr>
      <t>SOP:</t>
    </r>
    <r>
      <rPr>
        <sz val="10"/>
        <rFont val="Arial"/>
        <family val="2"/>
      </rPr>
      <t xml:space="preserve">
1.	Logistic needs to check/update rate in the first week of each month. And update the “Latest Updated Date”
2.	RFQ creator will need to test formula with heavy items and lightweight items
3.	The output of heavy item is within 25% more than reality is acceptable. 
4.	The output of lightweight item requires user’s own judgment.</t>
    </r>
  </si>
  <si>
    <t>Product</t>
  </si>
  <si>
    <t>Ice Blanc Milk</t>
  </si>
  <si>
    <t>Current Buying Price</t>
  </si>
  <si>
    <t>Monthly Usage</t>
  </si>
  <si>
    <t>Fast Cook Tapioca Pearls</t>
  </si>
  <si>
    <t>1 bag, $5.5</t>
  </si>
  <si>
    <t>9 bags</t>
  </si>
  <si>
    <t>Coating Juice</t>
  </si>
  <si>
    <t>Syrup</t>
  </si>
  <si>
    <t>1 bottle, $14</t>
  </si>
  <si>
    <t>8 bottles*4 flavors</t>
  </si>
  <si>
    <t>1 box*3 flavors</t>
  </si>
  <si>
    <t>Tea</t>
  </si>
  <si>
    <t>Accessories</t>
  </si>
  <si>
    <t>1000 sets, $205</t>
  </si>
  <si>
    <t>1000 sets</t>
  </si>
  <si>
    <t xml:space="preserve">One bottle is 1 L, one case with 12 bottles. </t>
  </si>
  <si>
    <t>1 case, $90</t>
  </si>
  <si>
    <t xml:space="preserve">One bag is 1 kg. </t>
  </si>
  <si>
    <t xml:space="preserve">One can is 3.4 kg. </t>
  </si>
  <si>
    <t>1 can, $20</t>
  </si>
  <si>
    <t>5 bags</t>
  </si>
  <si>
    <t>2 cases</t>
  </si>
  <si>
    <t>One bottle is 2 L</t>
  </si>
  <si>
    <t>Red Tea, 500g/bag</t>
  </si>
  <si>
    <t>Green Tea, 500g/bag</t>
  </si>
  <si>
    <t>Cups, Lids, Straws</t>
  </si>
  <si>
    <t>Second Factory Quote</t>
  </si>
  <si>
    <t>1 bag, $13.5</t>
  </si>
  <si>
    <t>Subtotal(shipping and handling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</si>
</sst>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44" formatCode="_(&quot;$&quot;* #,##0.00_);_(&quot;$&quot;* \(#,##0.00\);_(&quot;$&quot;* &quot;-&quot;??_);_(@_)"/>
    <numFmt numFmtId="165" formatCode="0.00_);[Red]\(0.00\)"/>
    <numFmt numFmtId="171" formatCode="_(&quot;$&quot;* #,##0.0000_);_(&quot;$&quot;* \(#,##0.0000\);_(&quot;$&quot;* &quot;-&quot;??_);_(@_)"/>
    <numFmt numFmtId="172" formatCode="_(&quot;$&quot;* #,##0.0000_);_(&quot;$&quot;* \(#,##0.0000\);_(&quot;$&quot;* &quot;-&quot;????_);_(@_)"/>
  </numFmts>
  <fonts count="43">
    <font>
      <sz val="11"/>
      <color theme="1"/>
      <name val="Aptos Narrow"/>
      <family val="2"/>
      <scheme val="minor"/>
    </font>
    <font>
      <sz val="11"/>
      <color theme="1"/>
      <name val="Aptos Narrow"/>
      <family val="2"/>
      <scheme val="minor"/>
    </font>
    <font>
      <sz val="11"/>
      <color rgb="FF006100"/>
      <name val="Aptos Narrow"/>
      <family val="2"/>
      <scheme val="minor"/>
    </font>
    <font>
      <b/>
      <sz val="11"/>
      <color rgb="FF3F3F3F"/>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0"/>
      <name val="Arial"/>
      <family val="2"/>
    </font>
    <font>
      <sz val="8"/>
      <color indexed="8"/>
      <name val="Arial"/>
      <family val="2"/>
    </font>
    <font>
      <sz val="8"/>
      <name val="Arial"/>
      <family val="2"/>
    </font>
    <font>
      <i/>
      <sz val="11"/>
      <color theme="1"/>
      <name val="Aptos Narrow"/>
      <family val="2"/>
      <scheme val="minor"/>
    </font>
    <font>
      <sz val="9"/>
      <name val="Arial"/>
      <family val="2"/>
    </font>
    <font>
      <sz val="7"/>
      <color indexed="8"/>
      <name val="Arial"/>
      <family val="2"/>
    </font>
    <font>
      <b/>
      <sz val="8"/>
      <color indexed="8"/>
      <name val="Arial"/>
      <family val="2"/>
    </font>
    <font>
      <sz val="11"/>
      <color indexed="8"/>
      <name val="Aptos Narrow"/>
      <family val="2"/>
      <scheme val="minor"/>
    </font>
    <font>
      <sz val="10.5"/>
      <name val="Consolas"/>
      <family val="3"/>
    </font>
    <font>
      <sz val="9"/>
      <color indexed="8"/>
      <name val="Arial"/>
      <family val="2"/>
    </font>
    <font>
      <u/>
      <sz val="10"/>
      <color indexed="12"/>
      <name val="Arial"/>
      <family val="2"/>
    </font>
    <font>
      <b/>
      <sz val="9"/>
      <color indexed="8"/>
      <name val="Arial"/>
      <family val="2"/>
    </font>
    <font>
      <sz val="9"/>
      <color rgb="FFFF0000"/>
      <name val="Arial"/>
      <family val="2"/>
    </font>
    <font>
      <b/>
      <sz val="10"/>
      <color indexed="8"/>
      <name val="Arial"/>
      <family val="2"/>
    </font>
    <font>
      <b/>
      <sz val="18"/>
      <color theme="4" tint="-0.499984740745262"/>
      <name val="Arial Rounded MT Bold"/>
      <family val="2"/>
    </font>
    <font>
      <sz val="10"/>
      <color indexed="8"/>
      <name val="Arial"/>
      <family val="2"/>
    </font>
    <font>
      <sz val="9"/>
      <color indexed="8"/>
      <name val="Aptos Display"/>
      <family val="2"/>
      <scheme val="major"/>
    </font>
    <font>
      <sz val="10"/>
      <color indexed="8"/>
      <name val="Aptos Narrow"/>
      <family val="2"/>
      <scheme val="minor"/>
    </font>
    <font>
      <b/>
      <sz val="10"/>
      <color indexed="8"/>
      <name val="Aptos Narrow"/>
      <family val="2"/>
      <scheme val="minor"/>
    </font>
    <font>
      <sz val="10"/>
      <color theme="1"/>
      <name val="Aptos Narrow"/>
      <family val="2"/>
      <scheme val="minor"/>
    </font>
    <font>
      <b/>
      <sz val="10"/>
      <color theme="0"/>
      <name val="Arial"/>
      <family val="2"/>
    </font>
    <font>
      <sz val="10"/>
      <name val="Aptos Narrow"/>
      <family val="2"/>
      <scheme val="minor"/>
    </font>
    <font>
      <sz val="10"/>
      <color rgb="FF000000"/>
      <name val="Aptos Narrow"/>
      <family val="2"/>
      <scheme val="minor"/>
    </font>
    <font>
      <sz val="10"/>
      <color indexed="10"/>
      <name val="Arial"/>
      <family val="2"/>
    </font>
    <font>
      <sz val="10"/>
      <color indexed="8"/>
      <name val="Calibri "/>
    </font>
    <font>
      <sz val="10"/>
      <color indexed="8"/>
      <name val="Edwardian Script ITC"/>
      <family val="4"/>
    </font>
    <font>
      <b/>
      <sz val="9"/>
      <color indexed="81"/>
      <name val="Tahoma"/>
      <family val="2"/>
    </font>
    <font>
      <sz val="9"/>
      <color indexed="81"/>
      <name val="Tahoma"/>
      <family val="2"/>
    </font>
    <font>
      <b/>
      <sz val="11"/>
      <color rgb="FF006100"/>
      <name val="Aptos Narrow"/>
      <family val="2"/>
      <scheme val="minor"/>
    </font>
    <font>
      <sz val="10"/>
      <color theme="1"/>
      <name val="Arial"/>
      <family val="2"/>
    </font>
    <font>
      <sz val="10"/>
      <color rgb="FF000000"/>
      <name val="Arial"/>
      <family val="2"/>
    </font>
    <font>
      <sz val="11"/>
      <color indexed="8"/>
      <name val="Arial"/>
      <family val="2"/>
    </font>
    <font>
      <sz val="15"/>
      <color rgb="FFFF0000"/>
      <name val="Aptos Narrow"/>
      <family val="2"/>
      <scheme val="minor"/>
    </font>
    <font>
      <i/>
      <sz val="18"/>
      <color theme="1"/>
      <name val="Aptos Narrow"/>
      <family val="2"/>
      <scheme val="minor"/>
    </font>
    <font>
      <sz val="10"/>
      <color rgb="FFFF0000"/>
      <name val="Arial"/>
      <family val="2"/>
    </font>
    <font>
      <sz val="8"/>
      <name val="Aptos Narrow"/>
      <family val="2"/>
      <scheme val="minor"/>
    </font>
  </fonts>
  <fills count="9">
    <fill>
      <patternFill patternType="none"/>
    </fill>
    <fill>
      <patternFill patternType="gray125"/>
    </fill>
    <fill>
      <patternFill patternType="solid">
        <fgColor rgb="FFC6EFCE"/>
      </patternFill>
    </fill>
    <fill>
      <patternFill patternType="solid">
        <fgColor rgb="FFF2F2F2"/>
      </patternFill>
    </fill>
    <fill>
      <patternFill patternType="solid">
        <fgColor rgb="FFFFC00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rgb="FFFFFF00"/>
        <bgColor indexed="64"/>
      </patternFill>
    </fill>
    <fill>
      <patternFill patternType="solid">
        <fgColor theme="0"/>
        <bgColor indexed="64"/>
      </patternFill>
    </fill>
  </fills>
  <borders count="35">
    <border>
      <left/>
      <right/>
      <top/>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s>
  <cellStyleXfs count="12">
    <xf numFmtId="0" fontId="0" fillId="0" borderId="0"/>
    <xf numFmtId="44" fontId="1" fillId="0" borderId="0" applyFont="0" applyFill="0" applyBorder="0" applyAlignment="0" applyProtection="0"/>
    <xf numFmtId="0" fontId="2" fillId="2" borderId="0" applyNumberFormat="0" applyBorder="0" applyAlignment="0" applyProtection="0"/>
    <xf numFmtId="0" fontId="3" fillId="3" borderId="1" applyNumberForma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7" fillId="0" borderId="0"/>
    <xf numFmtId="0" fontId="7" fillId="0" borderId="0"/>
    <xf numFmtId="44" fontId="7" fillId="0" borderId="0" applyFont="0" applyFill="0" applyBorder="0" applyAlignment="0" applyProtection="0"/>
    <xf numFmtId="0" fontId="17" fillId="0" borderId="0" applyNumberFormat="0" applyFill="0" applyBorder="0" applyAlignment="0" applyProtection="0">
      <alignment vertical="top"/>
      <protection locked="0"/>
    </xf>
    <xf numFmtId="44" fontId="1" fillId="0" borderId="0" applyFont="0" applyFill="0" applyBorder="0" applyAlignment="0" applyProtection="0"/>
    <xf numFmtId="9" fontId="7" fillId="0" borderId="0" applyFont="0" applyFill="0" applyBorder="0" applyAlignment="0" applyProtection="0"/>
  </cellStyleXfs>
  <cellXfs count="147">
    <xf numFmtId="0" fontId="0" fillId="0" borderId="0" xfId="0"/>
    <xf numFmtId="0" fontId="8" fillId="0" borderId="0" xfId="6" applyFont="1"/>
    <xf numFmtId="0" fontId="8" fillId="0" borderId="0" xfId="6" applyFont="1" applyAlignment="1">
      <alignment horizontal="left"/>
    </xf>
    <xf numFmtId="0" fontId="8" fillId="0" borderId="0" xfId="6" applyFont="1" applyAlignment="1">
      <alignment horizontal="center" vertical="center"/>
    </xf>
    <xf numFmtId="0" fontId="10" fillId="0" borderId="0" xfId="7" applyFont="1"/>
    <xf numFmtId="0" fontId="7" fillId="0" borderId="0" xfId="7" applyAlignment="1">
      <alignment horizontal="center"/>
    </xf>
    <xf numFmtId="0" fontId="7" fillId="0" borderId="0" xfId="7"/>
    <xf numFmtId="0" fontId="7" fillId="4" borderId="3" xfId="7" applyFill="1" applyBorder="1" applyAlignment="1">
      <alignment horizontal="center"/>
    </xf>
    <xf numFmtId="0" fontId="8" fillId="0" borderId="0" xfId="6" applyFont="1" applyAlignment="1">
      <alignment horizontal="right"/>
    </xf>
    <xf numFmtId="0" fontId="12" fillId="0" borderId="0" xfId="6" applyFont="1" applyAlignment="1">
      <alignment horizontal="left"/>
    </xf>
    <xf numFmtId="0" fontId="3" fillId="0" borderId="0" xfId="3" applyFill="1" applyBorder="1" applyAlignment="1">
      <alignment horizontal="center"/>
    </xf>
    <xf numFmtId="0" fontId="13" fillId="0" borderId="0" xfId="6" applyFont="1" applyAlignment="1">
      <alignment horizontal="center"/>
    </xf>
    <xf numFmtId="0" fontId="9" fillId="0" borderId="0" xfId="6" applyFont="1" applyAlignment="1">
      <alignment horizontal="left"/>
    </xf>
    <xf numFmtId="0" fontId="9" fillId="0" borderId="0" xfId="6" applyFont="1" applyAlignment="1">
      <alignment horizontal="center" vertical="center"/>
    </xf>
    <xf numFmtId="0" fontId="7" fillId="0" borderId="6" xfId="7" applyBorder="1" applyAlignment="1">
      <alignment horizontal="center"/>
    </xf>
    <xf numFmtId="0" fontId="7" fillId="0" borderId="7" xfId="7" applyBorder="1" applyAlignment="1">
      <alignment horizontal="center"/>
    </xf>
    <xf numFmtId="0" fontId="7" fillId="0" borderId="10" xfId="7" applyBorder="1" applyAlignment="1">
      <alignment horizontal="center"/>
    </xf>
    <xf numFmtId="0" fontId="7" fillId="0" borderId="11" xfId="7" applyBorder="1" applyAlignment="1">
      <alignment horizontal="center"/>
    </xf>
    <xf numFmtId="0" fontId="7" fillId="0" borderId="8" xfId="7" applyBorder="1" applyAlignment="1">
      <alignment horizontal="center"/>
    </xf>
    <xf numFmtId="44" fontId="7" fillId="5" borderId="13" xfId="8" applyFont="1" applyFill="1" applyBorder="1" applyAlignment="1">
      <alignment horizontal="center"/>
    </xf>
    <xf numFmtId="165" fontId="14" fillId="0" borderId="14" xfId="6" applyNumberFormat="1" applyFont="1" applyBorder="1" applyAlignment="1">
      <alignment horizontal="center"/>
    </xf>
    <xf numFmtId="44" fontId="14" fillId="5" borderId="15" xfId="8" applyFont="1" applyFill="1" applyBorder="1" applyAlignment="1">
      <alignment horizontal="center"/>
    </xf>
    <xf numFmtId="165" fontId="14" fillId="0" borderId="0" xfId="6" applyNumberFormat="1" applyFont="1" applyAlignment="1">
      <alignment horizontal="center"/>
    </xf>
    <xf numFmtId="0" fontId="7" fillId="0" borderId="6" xfId="7" applyBorder="1" applyAlignment="1">
      <alignment horizontal="center" vertical="center"/>
    </xf>
    <xf numFmtId="0" fontId="7" fillId="0" borderId="10" xfId="7" applyBorder="1" applyAlignment="1">
      <alignment horizontal="center" vertical="center"/>
    </xf>
    <xf numFmtId="165" fontId="14" fillId="0" borderId="6" xfId="6" applyNumberFormat="1" applyFont="1" applyBorder="1" applyAlignment="1">
      <alignment horizontal="center"/>
    </xf>
    <xf numFmtId="44" fontId="14" fillId="5" borderId="7" xfId="8" applyFont="1" applyFill="1" applyBorder="1" applyAlignment="1">
      <alignment horizontal="center"/>
    </xf>
    <xf numFmtId="165" fontId="14" fillId="0" borderId="8" xfId="6" applyNumberFormat="1" applyFont="1" applyBorder="1" applyAlignment="1">
      <alignment horizontal="center"/>
    </xf>
    <xf numFmtId="44" fontId="14" fillId="5" borderId="9" xfId="8" applyFont="1" applyFill="1" applyBorder="1" applyAlignment="1">
      <alignment horizontal="center"/>
    </xf>
    <xf numFmtId="0" fontId="6" fillId="0" borderId="6" xfId="7" applyFont="1" applyBorder="1" applyAlignment="1">
      <alignment horizontal="center" vertical="center"/>
    </xf>
    <xf numFmtId="0" fontId="6" fillId="0" borderId="10" xfId="7" applyFont="1" applyBorder="1" applyAlignment="1">
      <alignment horizontal="center" vertical="center"/>
    </xf>
    <xf numFmtId="0" fontId="6" fillId="0" borderId="7" xfId="7" applyFont="1" applyBorder="1" applyAlignment="1">
      <alignment horizontal="center" vertical="center"/>
    </xf>
    <xf numFmtId="44" fontId="7" fillId="5" borderId="16" xfId="8" applyFont="1" applyFill="1" applyBorder="1" applyAlignment="1">
      <alignment horizontal="center" vertical="center"/>
    </xf>
    <xf numFmtId="44" fontId="7" fillId="5" borderId="9" xfId="8" applyFont="1" applyFill="1" applyBorder="1" applyAlignment="1">
      <alignment horizontal="center" vertical="center"/>
    </xf>
    <xf numFmtId="44" fontId="7" fillId="5" borderId="7" xfId="8" applyFont="1" applyFill="1" applyBorder="1" applyAlignment="1">
      <alignment horizontal="center" vertical="center"/>
    </xf>
    <xf numFmtId="0" fontId="13" fillId="0" borderId="0" xfId="6" applyFont="1" applyAlignment="1">
      <alignment horizontal="right"/>
    </xf>
    <xf numFmtId="0" fontId="16" fillId="0" borderId="0" xfId="6" applyFont="1"/>
    <xf numFmtId="0" fontId="3" fillId="3" borderId="1" xfId="3" applyAlignment="1">
      <alignment horizontal="left"/>
    </xf>
    <xf numFmtId="0" fontId="18" fillId="0" borderId="0" xfId="6" applyFont="1" applyAlignment="1">
      <alignment horizontal="left"/>
    </xf>
    <xf numFmtId="0" fontId="16" fillId="0" borderId="0" xfId="6" applyFont="1" applyAlignment="1">
      <alignment horizontal="left"/>
    </xf>
    <xf numFmtId="0" fontId="16" fillId="0" borderId="0" xfId="6" applyFont="1" applyAlignment="1">
      <alignment horizontal="center" vertical="center"/>
    </xf>
    <xf numFmtId="0" fontId="18" fillId="0" borderId="0" xfId="6" applyFont="1" applyAlignment="1">
      <alignment horizontal="right"/>
    </xf>
    <xf numFmtId="0" fontId="22" fillId="0" borderId="0" xfId="6" applyFont="1"/>
    <xf numFmtId="0" fontId="23" fillId="0" borderId="0" xfId="6" applyFont="1" applyAlignment="1">
      <alignment horizontal="left"/>
    </xf>
    <xf numFmtId="0" fontId="22" fillId="0" borderId="0" xfId="6" applyFont="1" applyAlignment="1">
      <alignment horizontal="right"/>
    </xf>
    <xf numFmtId="0" fontId="24" fillId="0" borderId="0" xfId="6" applyFont="1"/>
    <xf numFmtId="0" fontId="22" fillId="0" borderId="0" xfId="6" applyFont="1" applyAlignment="1">
      <alignment horizontal="left"/>
    </xf>
    <xf numFmtId="0" fontId="22" fillId="0" borderId="0" xfId="6" applyFont="1" applyAlignment="1">
      <alignment horizontal="center" vertical="center"/>
    </xf>
    <xf numFmtId="0" fontId="24" fillId="0" borderId="0" xfId="6" applyFont="1" applyAlignment="1">
      <alignment horizontal="left"/>
    </xf>
    <xf numFmtId="8" fontId="7" fillId="0" borderId="0" xfId="6" applyNumberFormat="1" applyAlignment="1">
      <alignment horizontal="right"/>
    </xf>
    <xf numFmtId="0" fontId="20" fillId="0" borderId="0" xfId="6" applyFont="1" applyAlignment="1">
      <alignment horizontal="right"/>
    </xf>
    <xf numFmtId="0" fontId="27" fillId="6" borderId="20" xfId="6" applyFont="1" applyFill="1" applyBorder="1" applyAlignment="1">
      <alignment horizontal="center" vertical="center"/>
    </xf>
    <xf numFmtId="0" fontId="27" fillId="6" borderId="21" xfId="6" applyFont="1" applyFill="1" applyBorder="1" applyAlignment="1">
      <alignment horizontal="center" vertical="center" wrapText="1"/>
    </xf>
    <xf numFmtId="0" fontId="27" fillId="6" borderId="21" xfId="6" applyFont="1" applyFill="1" applyBorder="1" applyAlignment="1">
      <alignment horizontal="center" vertical="center"/>
    </xf>
    <xf numFmtId="0" fontId="20" fillId="0" borderId="0" xfId="6" applyFont="1" applyAlignment="1">
      <alignment vertical="center"/>
    </xf>
    <xf numFmtId="0" fontId="28" fillId="0" borderId="0" xfId="6" applyFont="1" applyAlignment="1">
      <alignment vertical="center"/>
    </xf>
    <xf numFmtId="0" fontId="31" fillId="0" borderId="0" xfId="6" applyFont="1" applyAlignment="1">
      <alignment horizontal="right"/>
    </xf>
    <xf numFmtId="0" fontId="32" fillId="0" borderId="22" xfId="6" applyFont="1" applyBorder="1" applyAlignment="1">
      <alignment horizontal="center"/>
    </xf>
    <xf numFmtId="0" fontId="31" fillId="0" borderId="0" xfId="6" applyFont="1"/>
    <xf numFmtId="0" fontId="22" fillId="8" borderId="0" xfId="6" applyFont="1" applyFill="1" applyAlignment="1">
      <alignment horizontal="left"/>
    </xf>
    <xf numFmtId="0" fontId="22" fillId="8" borderId="0" xfId="6" applyFont="1" applyFill="1" applyAlignment="1">
      <alignment horizontal="center" vertical="center"/>
    </xf>
    <xf numFmtId="14" fontId="31" fillId="8" borderId="22" xfId="6" applyNumberFormat="1" applyFont="1" applyFill="1" applyBorder="1" applyAlignment="1">
      <alignment horizontal="center"/>
    </xf>
    <xf numFmtId="0" fontId="7" fillId="0" borderId="0" xfId="7" applyAlignment="1">
      <alignment vertical="center"/>
    </xf>
    <xf numFmtId="0" fontId="10" fillId="0" borderId="0" xfId="7" applyFont="1" applyAlignment="1">
      <alignment vertical="center"/>
    </xf>
    <xf numFmtId="0" fontId="7" fillId="4" borderId="2" xfId="7" applyFill="1" applyBorder="1" applyAlignment="1">
      <alignment horizontal="center" vertical="center"/>
    </xf>
    <xf numFmtId="0" fontId="7" fillId="0" borderId="0" xfId="7" applyAlignment="1">
      <alignment horizontal="center" vertical="center"/>
    </xf>
    <xf numFmtId="44" fontId="35" fillId="2" borderId="2" xfId="2" applyNumberFormat="1" applyFont="1" applyBorder="1" applyAlignment="1">
      <alignment horizontal="center"/>
    </xf>
    <xf numFmtId="0" fontId="5" fillId="3" borderId="3" xfId="5" applyFill="1" applyBorder="1" applyAlignment="1">
      <alignment horizontal="center"/>
    </xf>
    <xf numFmtId="0" fontId="5" fillId="7" borderId="4" xfId="5" applyFill="1" applyBorder="1" applyAlignment="1">
      <alignment horizontal="center"/>
    </xf>
    <xf numFmtId="171" fontId="35" fillId="2" borderId="4" xfId="2" applyNumberFormat="1" applyFont="1" applyBorder="1" applyAlignment="1">
      <alignment horizontal="center"/>
    </xf>
    <xf numFmtId="172" fontId="7" fillId="0" borderId="0" xfId="7" applyNumberFormat="1"/>
    <xf numFmtId="0" fontId="7" fillId="4" borderId="4" xfId="7" applyFill="1" applyBorder="1" applyAlignment="1">
      <alignment horizontal="center"/>
    </xf>
    <xf numFmtId="0" fontId="7" fillId="7" borderId="0" xfId="7" applyFill="1"/>
    <xf numFmtId="0" fontId="5" fillId="3" borderId="4" xfId="5" applyFill="1" applyBorder="1" applyAlignment="1">
      <alignment horizontal="center"/>
    </xf>
    <xf numFmtId="0" fontId="7" fillId="0" borderId="0" xfId="7" applyAlignment="1">
      <alignment horizontal="left" vertical="top" wrapText="1"/>
    </xf>
    <xf numFmtId="0" fontId="7" fillId="0" borderId="0" xfId="7" applyAlignment="1">
      <alignment horizontal="left" vertical="top"/>
    </xf>
    <xf numFmtId="0" fontId="5" fillId="3" borderId="5" xfId="5" applyFill="1" applyBorder="1" applyAlignment="1">
      <alignment horizontal="center"/>
    </xf>
    <xf numFmtId="0" fontId="7" fillId="0" borderId="0" xfId="7" applyAlignment="1">
      <alignment vertical="top" wrapText="1"/>
    </xf>
    <xf numFmtId="44" fontId="5" fillId="3" borderId="8" xfId="5" applyNumberFormat="1" applyFill="1" applyBorder="1" applyAlignment="1">
      <alignment horizontal="center"/>
    </xf>
    <xf numFmtId="44" fontId="5" fillId="3" borderId="9" xfId="5" applyNumberFormat="1" applyFill="1" applyBorder="1" applyAlignment="1">
      <alignment horizontal="center"/>
    </xf>
    <xf numFmtId="44" fontId="7" fillId="0" borderId="0" xfId="7" applyNumberFormat="1" applyAlignment="1">
      <alignment horizontal="center"/>
    </xf>
    <xf numFmtId="0" fontId="7" fillId="0" borderId="24" xfId="7" applyBorder="1" applyAlignment="1">
      <alignment horizontal="center"/>
    </xf>
    <xf numFmtId="44" fontId="36" fillId="7" borderId="25" xfId="10" applyFont="1" applyFill="1" applyBorder="1" applyAlignment="1">
      <alignment horizontal="center" vertical="center"/>
    </xf>
    <xf numFmtId="44" fontId="37" fillId="7" borderId="25" xfId="10" applyFont="1" applyFill="1" applyBorder="1" applyAlignment="1">
      <alignment horizontal="center" vertical="center"/>
    </xf>
    <xf numFmtId="44" fontId="37" fillId="7" borderId="19" xfId="10" applyFont="1" applyFill="1" applyBorder="1" applyAlignment="1">
      <alignment horizontal="center" vertical="center"/>
    </xf>
    <xf numFmtId="9" fontId="0" fillId="0" borderId="0" xfId="11" applyFont="1" applyAlignment="1">
      <alignment horizontal="center"/>
    </xf>
    <xf numFmtId="44" fontId="5" fillId="3" borderId="13" xfId="5" applyNumberFormat="1" applyFill="1" applyBorder="1" applyAlignment="1">
      <alignment horizontal="center"/>
    </xf>
    <xf numFmtId="0" fontId="7" fillId="0" borderId="7" xfId="7" applyBorder="1" applyAlignment="1">
      <alignment horizontal="center" vertical="center"/>
    </xf>
    <xf numFmtId="0" fontId="5" fillId="3" borderId="8" xfId="5" applyFill="1" applyBorder="1" applyAlignment="1">
      <alignment horizontal="center"/>
    </xf>
    <xf numFmtId="9" fontId="7" fillId="5" borderId="13" xfId="7" applyNumberFormat="1" applyFill="1" applyBorder="1" applyAlignment="1">
      <alignment horizontal="center"/>
    </xf>
    <xf numFmtId="0" fontId="38" fillId="0" borderId="0" xfId="6" applyFont="1"/>
    <xf numFmtId="0" fontId="5" fillId="0" borderId="11" xfId="5" applyBorder="1" applyAlignment="1">
      <alignment horizontal="center" vertical="center"/>
    </xf>
    <xf numFmtId="0" fontId="5" fillId="0" borderId="12" xfId="5" applyBorder="1" applyAlignment="1">
      <alignment horizontal="center" vertical="center"/>
    </xf>
    <xf numFmtId="0" fontId="39" fillId="0" borderId="26" xfId="4" applyFont="1" applyBorder="1" applyAlignment="1">
      <alignment horizontal="center" vertical="center" wrapText="1"/>
    </xf>
    <xf numFmtId="0" fontId="39" fillId="0" borderId="27" xfId="4" applyFont="1" applyBorder="1" applyAlignment="1">
      <alignment horizontal="center" vertical="center" wrapText="1"/>
    </xf>
    <xf numFmtId="0" fontId="39" fillId="0" borderId="28" xfId="4" applyFont="1" applyBorder="1" applyAlignment="1">
      <alignment horizontal="center" vertical="center" wrapText="1"/>
    </xf>
    <xf numFmtId="0" fontId="10" fillId="0" borderId="24" xfId="7" applyFont="1" applyBorder="1" applyAlignment="1">
      <alignment horizontal="center" vertical="center"/>
    </xf>
    <xf numFmtId="14" fontId="40" fillId="0" borderId="27" xfId="7" applyNumberFormat="1" applyFont="1" applyBorder="1" applyAlignment="1">
      <alignment horizontal="center" vertical="center"/>
    </xf>
    <xf numFmtId="171" fontId="35" fillId="2" borderId="26" xfId="2" applyNumberFormat="1" applyFont="1" applyBorder="1" applyAlignment="1">
      <alignment horizontal="center"/>
    </xf>
    <xf numFmtId="0" fontId="10" fillId="0" borderId="28" xfId="7" applyFont="1" applyBorder="1"/>
    <xf numFmtId="0" fontId="10" fillId="0" borderId="29" xfId="7" applyFont="1" applyBorder="1" applyAlignment="1">
      <alignment horizontal="center" vertical="center"/>
    </xf>
    <xf numFmtId="14" fontId="40" fillId="0" borderId="0" xfId="7" applyNumberFormat="1" applyFont="1" applyAlignment="1">
      <alignment horizontal="center" vertical="center"/>
    </xf>
    <xf numFmtId="0" fontId="7" fillId="4" borderId="30" xfId="7" applyFill="1" applyBorder="1" applyAlignment="1">
      <alignment horizontal="center"/>
    </xf>
    <xf numFmtId="0" fontId="10" fillId="0" borderId="31" xfId="7" applyFont="1" applyBorder="1"/>
    <xf numFmtId="44" fontId="7" fillId="5" borderId="30" xfId="8" applyFont="1" applyFill="1" applyBorder="1" applyAlignment="1">
      <alignment horizontal="center"/>
    </xf>
    <xf numFmtId="0" fontId="5" fillId="0" borderId="8" xfId="5" applyBorder="1" applyAlignment="1">
      <alignment horizontal="center" vertical="center"/>
    </xf>
    <xf numFmtId="0" fontId="5" fillId="0" borderId="13" xfId="5" applyBorder="1" applyAlignment="1">
      <alignment horizontal="center" vertical="center"/>
    </xf>
    <xf numFmtId="0" fontId="10" fillId="0" borderId="32" xfId="7" applyFont="1" applyBorder="1" applyAlignment="1">
      <alignment horizontal="center" vertical="center"/>
    </xf>
    <xf numFmtId="14" fontId="40" fillId="0" borderId="33" xfId="7" applyNumberFormat="1" applyFont="1" applyBorder="1" applyAlignment="1">
      <alignment horizontal="center" vertical="center"/>
    </xf>
    <xf numFmtId="0" fontId="7" fillId="0" borderId="34" xfId="7" applyBorder="1"/>
    <xf numFmtId="0" fontId="7" fillId="0" borderId="25" xfId="7" applyBorder="1"/>
    <xf numFmtId="0" fontId="7" fillId="0" borderId="26" xfId="7" applyBorder="1" applyAlignment="1">
      <alignment horizontal="left" vertical="top" wrapText="1"/>
    </xf>
    <xf numFmtId="0" fontId="7" fillId="0" borderId="27" xfId="7" applyBorder="1" applyAlignment="1">
      <alignment horizontal="left" vertical="top" wrapText="1"/>
    </xf>
    <xf numFmtId="0" fontId="7" fillId="0" borderId="28" xfId="7" applyBorder="1" applyAlignment="1">
      <alignment horizontal="left" vertical="top" wrapText="1"/>
    </xf>
    <xf numFmtId="0" fontId="7" fillId="0" borderId="30" xfId="7" applyBorder="1" applyAlignment="1">
      <alignment horizontal="left" vertical="top" wrapText="1"/>
    </xf>
    <xf numFmtId="0" fontId="7" fillId="0" borderId="31" xfId="7" applyBorder="1" applyAlignment="1">
      <alignment horizontal="left" vertical="top" wrapText="1"/>
    </xf>
    <xf numFmtId="0" fontId="5" fillId="0" borderId="6" xfId="5" applyBorder="1" applyAlignment="1">
      <alignment horizontal="center"/>
    </xf>
    <xf numFmtId="0" fontId="5" fillId="0" borderId="11" xfId="5" applyBorder="1" applyAlignment="1">
      <alignment horizontal="center"/>
    </xf>
    <xf numFmtId="0" fontId="7" fillId="0" borderId="34" xfId="7" applyBorder="1" applyAlignment="1">
      <alignment horizontal="left" vertical="top" wrapText="1"/>
    </xf>
    <xf numFmtId="0" fontId="7" fillId="0" borderId="33" xfId="7" applyBorder="1" applyAlignment="1">
      <alignment horizontal="left" vertical="top" wrapText="1"/>
    </xf>
    <xf numFmtId="0" fontId="7" fillId="0" borderId="25" xfId="7" applyBorder="1" applyAlignment="1">
      <alignment horizontal="left" vertical="top" wrapText="1"/>
    </xf>
    <xf numFmtId="0" fontId="5" fillId="0" borderId="8" xfId="5" applyBorder="1" applyAlignment="1">
      <alignment horizontal="center"/>
    </xf>
    <xf numFmtId="0" fontId="0" fillId="0" borderId="0" xfId="7" applyFont="1"/>
    <xf numFmtId="0" fontId="7" fillId="5" borderId="12" xfId="7" applyFill="1" applyBorder="1" applyAlignment="1">
      <alignment horizontal="center"/>
    </xf>
    <xf numFmtId="44" fontId="8" fillId="0" borderId="0" xfId="1" applyFont="1" applyAlignment="1">
      <alignment horizontal="center" vertical="center"/>
    </xf>
    <xf numFmtId="44" fontId="15" fillId="0" borderId="0" xfId="1" applyFont="1" applyAlignment="1">
      <alignment horizontal="center" vertical="center"/>
    </xf>
    <xf numFmtId="44" fontId="18" fillId="0" borderId="0" xfId="1" applyFont="1" applyAlignment="1">
      <alignment horizontal="center" vertical="center"/>
    </xf>
    <xf numFmtId="44" fontId="22" fillId="0" borderId="0" xfId="1" applyFont="1" applyAlignment="1">
      <alignment horizontal="center" vertical="center"/>
    </xf>
    <xf numFmtId="44" fontId="25" fillId="0" borderId="0" xfId="1" applyFont="1" applyAlignment="1">
      <alignment horizontal="center" vertical="center"/>
    </xf>
    <xf numFmtId="44" fontId="27" fillId="6" borderId="21" xfId="1" applyFont="1" applyFill="1" applyBorder="1" applyAlignment="1">
      <alignment horizontal="center" vertical="center" wrapText="1"/>
    </xf>
    <xf numFmtId="44" fontId="22" fillId="8" borderId="0" xfId="1" applyFont="1" applyFill="1" applyAlignment="1">
      <alignment horizontal="center" vertical="center"/>
    </xf>
    <xf numFmtId="44" fontId="8" fillId="0" borderId="0" xfId="1" applyFont="1"/>
    <xf numFmtId="44" fontId="11" fillId="0" borderId="0" xfId="1" applyFont="1" applyAlignment="1">
      <alignment horizontal="left"/>
    </xf>
    <xf numFmtId="44" fontId="17" fillId="0" borderId="0" xfId="1" applyFont="1" applyAlignment="1" applyProtection="1"/>
    <xf numFmtId="44" fontId="16" fillId="0" borderId="0" xfId="1" applyFont="1"/>
    <xf numFmtId="44" fontId="19" fillId="0" borderId="0" xfId="1" applyFont="1"/>
    <xf numFmtId="44" fontId="21" fillId="0" borderId="0" xfId="1" applyFont="1" applyAlignment="1">
      <alignment horizontal="center" vertical="center"/>
    </xf>
    <xf numFmtId="44" fontId="21" fillId="0" borderId="0" xfId="1" applyFont="1" applyBorder="1" applyAlignment="1">
      <alignment horizontal="center" vertical="center"/>
    </xf>
    <xf numFmtId="44" fontId="26" fillId="0" borderId="0" xfId="1" applyFont="1" applyBorder="1" applyAlignment="1">
      <alignment horizontal="center"/>
    </xf>
    <xf numFmtId="44" fontId="22" fillId="0" borderId="0" xfId="1" applyFont="1"/>
    <xf numFmtId="44" fontId="30" fillId="0" borderId="0" xfId="1" applyFont="1" applyAlignment="1">
      <alignment horizontal="left" wrapText="1"/>
    </xf>
    <xf numFmtId="0" fontId="28" fillId="0" borderId="17" xfId="6" applyFont="1" applyBorder="1" applyAlignment="1">
      <alignment horizontal="center" vertical="center"/>
    </xf>
    <xf numFmtId="11" fontId="29" fillId="0" borderId="23" xfId="7" applyNumberFormat="1" applyFont="1" applyBorder="1" applyAlignment="1">
      <alignment horizontal="center" vertical="center"/>
    </xf>
    <xf numFmtId="0" fontId="26" fillId="0" borderId="23" xfId="7" applyFont="1" applyBorder="1" applyAlignment="1">
      <alignment horizontal="center" vertical="center" wrapText="1"/>
    </xf>
    <xf numFmtId="6" fontId="26" fillId="0" borderId="23" xfId="7" applyNumberFormat="1" applyFont="1" applyBorder="1" applyAlignment="1">
      <alignment horizontal="center" vertical="center" wrapText="1"/>
    </xf>
    <xf numFmtId="44" fontId="26" fillId="0" borderId="23" xfId="1" applyFont="1" applyBorder="1" applyAlignment="1">
      <alignment horizontal="center" vertical="center" wrapText="1"/>
    </xf>
    <xf numFmtId="44" fontId="29" fillId="0" borderId="18" xfId="1" applyFont="1" applyBorder="1" applyAlignment="1">
      <alignment horizontal="center" vertical="center"/>
    </xf>
  </cellXfs>
  <cellStyles count="12">
    <cellStyle name="Currency" xfId="1" builtinId="4"/>
    <cellStyle name="Currency 2 2" xfId="8" xr:uid="{304DFECF-1B8B-499C-810D-54D0B97324BF}"/>
    <cellStyle name="Currency 4" xfId="10" xr:uid="{E5EBE60B-8A7F-4212-AB80-DF4F4446D00D}"/>
    <cellStyle name="Explanatory Text" xfId="5" builtinId="53"/>
    <cellStyle name="Good" xfId="2" builtinId="26"/>
    <cellStyle name="Normal" xfId="0" builtinId="0"/>
    <cellStyle name="Normal 2 2" xfId="7" xr:uid="{D86C5422-A993-46F6-964E-8F6CBC97557A}"/>
    <cellStyle name="Output" xfId="3" builtinId="21"/>
    <cellStyle name="Percent 2" xfId="11" xr:uid="{43B66400-C754-4329-A3F8-1A7816E37854}"/>
    <cellStyle name="Warning Text" xfId="4" builtinId="11"/>
    <cellStyle name="常规 2 2" xfId="6" xr:uid="{7E7CE496-FC7C-4D3D-A630-BA229904395F}"/>
    <cellStyle name="超链接 2" xfId="9" xr:uid="{F09338DC-C811-4138-AC27-EFC6AACD7031}"/>
  </cellStyles>
  <dxfs count="2">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47625</xdr:colOff>
      <xdr:row>59</xdr:row>
      <xdr:rowOff>28575</xdr:rowOff>
    </xdr:from>
    <xdr:ext cx="1482969" cy="302602"/>
    <xdr:pic>
      <xdr:nvPicPr>
        <xdr:cNvPr id="2" name="Picture 1">
          <a:extLst>
            <a:ext uri="{FF2B5EF4-FFF2-40B4-BE49-F238E27FC236}">
              <a16:creationId xmlns:a16="http://schemas.microsoft.com/office/drawing/2014/main" id="{D74E7C09-E5E0-46A1-B224-3CF1167297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8575"/>
          <a:ext cx="1482969" cy="3026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_mascon_com/Documents/Shared/Engineering/22.OEM%20RFQ/RFQ%20Template%20-%20NEW%20-%20Cashflow%20Factor.xlsx" TargetMode="External"/><Relationship Id="rId2" Type="http://schemas.openxmlformats.org/officeDocument/2006/relationships/externalLinkPath" Target="https://mascon0-my.sharepoint.com/personal/onedrive_mascon_com/Documents/Shared/Engineering/22.OEM%20RFQ/RFQ%20Template%20-%20NEW%20-%20Cashflow%20Factor.xlsx" TargetMode="External"/><Relationship Id="rId1" Type="http://schemas.openxmlformats.org/officeDocument/2006/relationships/externalLinkPath" Target="/personal/onedrive_mascon_com/Documents/Shared/Engineering/22.OEM%20RFQ/RFQ%20Template%20-%20NEW%20-%20Cashflow%20Fac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mplate"/>
      <sheetName val="Calculation Sheet"/>
    </sheetNames>
    <sheetDataSet>
      <sheetData sheetId="0" refreshError="1"/>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BE95A4-8710-447B-91A1-D706D654EE2F}" name="Table1332" displayName="Table1332" ref="F50:F54" totalsRowShown="0" dataDxfId="1">
  <autoFilter ref="F50:F54" xr:uid="{00000000-0009-0000-0100-000003000000}"/>
  <tableColumns count="1">
    <tableColumn id="1" xr3:uid="{6D14891D-89E8-4AD8-95AF-5D63AD26EC92}" name="Origi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AC8D-C999-4D56-9827-55C21ED5664B}">
  <dimension ref="A1:G79"/>
  <sheetViews>
    <sheetView tabSelected="1" showWhiteSpace="0" view="pageLayout" topLeftCell="A60" zoomScale="115" zoomScaleNormal="100" zoomScalePageLayoutView="115" workbookViewId="0">
      <selection activeCell="K67" sqref="K67"/>
    </sheetView>
  </sheetViews>
  <sheetFormatPr defaultColWidth="9.140625" defaultRowHeight="11.25"/>
  <cols>
    <col min="1" max="1" width="8" style="8" customWidth="1"/>
    <col min="2" max="2" width="20.42578125" style="1" bestFit="1" customWidth="1"/>
    <col min="3" max="3" width="18.28515625" style="2" customWidth="1"/>
    <col min="4" max="4" width="13.140625" style="2" customWidth="1"/>
    <col min="5" max="5" width="15.140625" style="3" bestFit="1" customWidth="1"/>
    <col min="6" max="6" width="12.140625" style="124" bestFit="1" customWidth="1"/>
    <col min="7" max="7" width="16.5703125" style="131" bestFit="1" customWidth="1"/>
    <col min="8" max="16384" width="9.140625" style="1"/>
  </cols>
  <sheetData>
    <row r="1" spans="1:7" hidden="1">
      <c r="A1" s="1"/>
    </row>
    <row r="2" spans="1:7" ht="12" hidden="1">
      <c r="A2" s="1"/>
      <c r="G2" s="132"/>
    </row>
    <row r="3" spans="1:7" hidden="1"/>
    <row r="4" spans="1:7" hidden="1">
      <c r="B4" s="9"/>
    </row>
    <row r="5" spans="1:7" hidden="1">
      <c r="B5" s="9"/>
    </row>
    <row r="6" spans="1:7" hidden="1">
      <c r="B6" s="9"/>
    </row>
    <row r="7" spans="1:7" hidden="1"/>
    <row r="8" spans="1:7" hidden="1">
      <c r="A8" s="2"/>
    </row>
    <row r="9" spans="1:7" hidden="1">
      <c r="A9" s="2"/>
      <c r="B9" s="11"/>
      <c r="C9" s="12"/>
      <c r="D9" s="12"/>
      <c r="E9" s="13"/>
    </row>
    <row r="10" spans="1:7" hidden="1">
      <c r="A10" s="2"/>
      <c r="B10" s="11"/>
      <c r="C10" s="12"/>
      <c r="D10" s="12"/>
      <c r="E10" s="13"/>
    </row>
    <row r="11" spans="1:7" hidden="1">
      <c r="A11" s="2"/>
      <c r="B11" s="11"/>
      <c r="C11" s="12"/>
      <c r="D11" s="12"/>
      <c r="E11" s="13"/>
    </row>
    <row r="12" spans="1:7" hidden="1">
      <c r="A12" s="2"/>
      <c r="B12" s="11"/>
      <c r="C12" s="12"/>
      <c r="D12" s="12"/>
      <c r="E12" s="13"/>
    </row>
    <row r="13" spans="1:7" hidden="1">
      <c r="A13" s="2"/>
      <c r="B13" s="11"/>
      <c r="C13" s="12"/>
      <c r="D13" s="12"/>
      <c r="E13" s="13"/>
    </row>
    <row r="14" spans="1:7" hidden="1">
      <c r="A14" s="2"/>
      <c r="B14" s="11"/>
      <c r="C14" s="12"/>
      <c r="D14" s="12"/>
      <c r="E14" s="13"/>
    </row>
    <row r="15" spans="1:7" hidden="1">
      <c r="A15" s="2"/>
      <c r="B15" s="11"/>
      <c r="C15" s="12"/>
      <c r="D15" s="12"/>
      <c r="E15" s="13"/>
    </row>
    <row r="16" spans="1:7" hidden="1">
      <c r="A16" s="2"/>
      <c r="B16" s="11"/>
      <c r="C16" s="12"/>
      <c r="D16" s="12"/>
      <c r="E16" s="13"/>
    </row>
    <row r="17" spans="1:5" hidden="1">
      <c r="A17" s="2"/>
      <c r="B17" s="11"/>
      <c r="C17" s="12"/>
      <c r="D17" s="12"/>
      <c r="E17" s="13"/>
    </row>
    <row r="18" spans="1:5" hidden="1">
      <c r="A18" s="2"/>
      <c r="B18" s="11"/>
      <c r="C18" s="12"/>
      <c r="D18" s="12"/>
      <c r="E18" s="13"/>
    </row>
    <row r="19" spans="1:5" hidden="1">
      <c r="A19" s="2"/>
      <c r="B19" s="11"/>
      <c r="C19" s="12"/>
      <c r="D19" s="12"/>
      <c r="E19" s="13"/>
    </row>
    <row r="20" spans="1:5" hidden="1">
      <c r="A20" s="2"/>
      <c r="B20" s="11"/>
      <c r="C20" s="12"/>
      <c r="D20" s="12"/>
      <c r="E20" s="13"/>
    </row>
    <row r="21" spans="1:5" hidden="1">
      <c r="A21" s="2"/>
      <c r="B21" s="11"/>
      <c r="C21" s="12"/>
      <c r="D21" s="12"/>
      <c r="E21" s="13"/>
    </row>
    <row r="22" spans="1:5" hidden="1">
      <c r="A22" s="2"/>
      <c r="B22" s="11"/>
      <c r="C22" s="12"/>
      <c r="D22" s="12"/>
      <c r="E22" s="13"/>
    </row>
    <row r="23" spans="1:5" hidden="1">
      <c r="A23" s="2"/>
      <c r="B23" s="11"/>
      <c r="C23" s="12"/>
      <c r="D23" s="12"/>
      <c r="E23" s="13"/>
    </row>
    <row r="24" spans="1:5" hidden="1">
      <c r="A24" s="2"/>
      <c r="B24" s="11"/>
      <c r="C24" s="12"/>
      <c r="D24" s="12"/>
      <c r="E24" s="13"/>
    </row>
    <row r="25" spans="1:5" hidden="1">
      <c r="A25" s="2"/>
      <c r="B25" s="11"/>
      <c r="C25" s="12"/>
      <c r="D25" s="12"/>
      <c r="E25" s="13"/>
    </row>
    <row r="26" spans="1:5" hidden="1">
      <c r="A26" s="2"/>
      <c r="B26" s="11"/>
      <c r="C26" s="12"/>
      <c r="D26" s="12"/>
      <c r="E26" s="13"/>
    </row>
    <row r="27" spans="1:5" hidden="1">
      <c r="A27" s="2"/>
      <c r="B27" s="11"/>
      <c r="C27" s="12"/>
      <c r="D27" s="12"/>
      <c r="E27" s="13"/>
    </row>
    <row r="28" spans="1:5" hidden="1">
      <c r="A28" s="2"/>
      <c r="B28" s="11"/>
      <c r="C28" s="12"/>
      <c r="D28" s="12"/>
      <c r="E28" s="13"/>
    </row>
    <row r="29" spans="1:5" hidden="1">
      <c r="A29" s="2"/>
      <c r="B29" s="11"/>
      <c r="C29" s="12"/>
      <c r="D29" s="12"/>
      <c r="E29" s="13"/>
    </row>
    <row r="30" spans="1:5" hidden="1">
      <c r="A30" s="2"/>
      <c r="B30" s="11"/>
      <c r="C30" s="12"/>
      <c r="D30" s="12"/>
      <c r="E30" s="13"/>
    </row>
    <row r="31" spans="1:5" hidden="1">
      <c r="A31" s="2"/>
      <c r="B31" s="11"/>
      <c r="C31" s="12"/>
      <c r="D31" s="12"/>
      <c r="E31" s="13"/>
    </row>
    <row r="32" spans="1:5" hidden="1">
      <c r="A32" s="2"/>
      <c r="B32" s="11"/>
      <c r="C32" s="12"/>
      <c r="D32" s="12"/>
      <c r="E32" s="13"/>
    </row>
    <row r="33" spans="1:6" hidden="1">
      <c r="A33" s="2"/>
      <c r="B33" s="11"/>
      <c r="C33" s="12"/>
      <c r="D33" s="12"/>
      <c r="E33" s="13"/>
    </row>
    <row r="34" spans="1:6" hidden="1">
      <c r="A34" s="2"/>
      <c r="B34" s="11"/>
      <c r="C34" s="12"/>
      <c r="D34" s="12"/>
      <c r="E34" s="13"/>
    </row>
    <row r="35" spans="1:6" hidden="1">
      <c r="A35" s="2"/>
      <c r="B35" s="11"/>
      <c r="C35" s="12"/>
      <c r="D35" s="12"/>
      <c r="E35" s="13"/>
    </row>
    <row r="36" spans="1:6" hidden="1">
      <c r="A36" s="2"/>
      <c r="B36" s="11"/>
      <c r="C36" s="12"/>
      <c r="D36" s="12"/>
      <c r="E36" s="13"/>
    </row>
    <row r="37" spans="1:6" hidden="1">
      <c r="A37" s="2"/>
      <c r="B37" s="11"/>
      <c r="C37" s="12"/>
      <c r="D37" s="12"/>
      <c r="E37" s="13"/>
    </row>
    <row r="38" spans="1:6" hidden="1">
      <c r="A38" s="2"/>
      <c r="B38" s="11"/>
      <c r="C38" s="12"/>
      <c r="D38" s="12"/>
      <c r="E38" s="13"/>
    </row>
    <row r="39" spans="1:6" hidden="1">
      <c r="A39" s="2"/>
      <c r="B39" s="11"/>
      <c r="C39" s="12"/>
      <c r="D39" s="12"/>
      <c r="E39" s="13"/>
    </row>
    <row r="40" spans="1:6" hidden="1">
      <c r="A40" s="2"/>
      <c r="B40" s="11"/>
      <c r="C40" s="12"/>
      <c r="D40" s="12"/>
      <c r="E40" s="13"/>
    </row>
    <row r="41" spans="1:6" hidden="1">
      <c r="A41" s="2"/>
      <c r="B41" s="11"/>
      <c r="C41" s="12"/>
      <c r="D41" s="12"/>
      <c r="E41" s="13"/>
    </row>
    <row r="42" spans="1:6" hidden="1">
      <c r="A42" s="2"/>
      <c r="B42" s="11"/>
      <c r="C42" s="12"/>
      <c r="D42" s="12"/>
      <c r="E42" s="13"/>
    </row>
    <row r="43" spans="1:6" hidden="1">
      <c r="A43" s="2"/>
      <c r="B43" s="11"/>
      <c r="C43" s="12"/>
      <c r="D43" s="12"/>
      <c r="E43" s="13"/>
    </row>
    <row r="44" spans="1:6" hidden="1">
      <c r="A44" s="2"/>
      <c r="B44" s="11"/>
      <c r="C44" s="12"/>
      <c r="D44" s="12"/>
      <c r="E44" s="13"/>
    </row>
    <row r="45" spans="1:6" ht="14.25" hidden="1">
      <c r="F45" s="125"/>
    </row>
    <row r="46" spans="1:6" ht="14.25" hidden="1">
      <c r="A46" s="35"/>
      <c r="B46" s="36"/>
      <c r="F46" s="125"/>
    </row>
    <row r="47" spans="1:6" ht="14.25" hidden="1">
      <c r="A47" s="35"/>
      <c r="B47" s="36"/>
      <c r="F47" s="125"/>
    </row>
    <row r="48" spans="1:6" ht="14.25" hidden="1">
      <c r="A48" s="35"/>
      <c r="B48" s="36"/>
      <c r="C48" s="1"/>
      <c r="D48" s="1"/>
      <c r="F48" s="125"/>
    </row>
    <row r="49" spans="1:7" ht="14.25" hidden="1">
      <c r="A49" s="35"/>
      <c r="B49" s="36"/>
      <c r="C49" s="1"/>
      <c r="D49" s="1"/>
      <c r="F49" s="125"/>
    </row>
    <row r="50" spans="1:7" ht="14.25" hidden="1">
      <c r="A50" s="35"/>
      <c r="B50" s="36"/>
      <c r="C50" s="1"/>
      <c r="D50" s="1"/>
      <c r="F50" s="125"/>
    </row>
    <row r="51" spans="1:7" ht="14.25" hidden="1">
      <c r="A51" s="35"/>
      <c r="C51" s="1"/>
      <c r="D51" s="1"/>
      <c r="F51" s="125"/>
      <c r="G51" s="133"/>
    </row>
    <row r="52" spans="1:7" hidden="1">
      <c r="A52" s="35"/>
    </row>
    <row r="53" spans="1:7" hidden="1">
      <c r="A53" s="35"/>
    </row>
    <row r="54" spans="1:7" hidden="1">
      <c r="A54" s="35"/>
    </row>
    <row r="55" spans="1:7" ht="12" hidden="1">
      <c r="A55" s="38"/>
      <c r="B55" s="36"/>
      <c r="C55" s="39"/>
      <c r="D55" s="39"/>
      <c r="E55" s="40"/>
      <c r="F55" s="126"/>
      <c r="G55" s="134"/>
    </row>
    <row r="56" spans="1:7" ht="12" hidden="1">
      <c r="A56" s="41"/>
      <c r="B56" s="36"/>
      <c r="C56" s="39"/>
      <c r="D56" s="39"/>
      <c r="E56" s="40"/>
      <c r="F56" s="126"/>
      <c r="G56" s="135"/>
    </row>
    <row r="57" spans="1:7" ht="12" hidden="1">
      <c r="A57" s="41"/>
      <c r="B57" s="36"/>
      <c r="C57" s="39"/>
      <c r="D57" s="39"/>
      <c r="E57" s="40"/>
      <c r="F57" s="126"/>
      <c r="G57" s="134"/>
    </row>
    <row r="58" spans="1:7" hidden="1">
      <c r="A58" s="35"/>
    </row>
    <row r="59" spans="1:7" hidden="1">
      <c r="A59" s="35"/>
    </row>
    <row r="60" spans="1:7">
      <c r="A60" s="1"/>
    </row>
    <row r="61" spans="1:7">
      <c r="A61" s="1"/>
      <c r="G61" s="136"/>
    </row>
    <row r="62" spans="1:7" ht="12">
      <c r="B62" s="43"/>
      <c r="G62" s="136"/>
    </row>
    <row r="63" spans="1:7" s="42" customFormat="1" ht="13.5">
      <c r="A63" s="44"/>
      <c r="B63" s="45" t="s">
        <v>44</v>
      </c>
      <c r="C63" s="46"/>
      <c r="D63" s="46"/>
      <c r="E63" s="47"/>
      <c r="F63" s="127"/>
      <c r="G63" s="137"/>
    </row>
    <row r="64" spans="1:7" s="42" customFormat="1" ht="13.5">
      <c r="A64" s="44"/>
      <c r="B64" s="48" t="s">
        <v>45</v>
      </c>
      <c r="C64" s="46"/>
      <c r="D64" s="46"/>
      <c r="E64" s="47"/>
      <c r="F64" s="128"/>
      <c r="G64" s="138"/>
    </row>
    <row r="65" spans="1:7" s="42" customFormat="1" ht="13.5">
      <c r="A65" s="44"/>
      <c r="B65" s="45"/>
      <c r="C65" s="46"/>
      <c r="D65" s="46"/>
      <c r="E65" s="47"/>
      <c r="F65" s="128"/>
      <c r="G65" s="138"/>
    </row>
    <row r="66" spans="1:7" s="42" customFormat="1" ht="12.75">
      <c r="A66" s="50"/>
      <c r="C66" s="46"/>
      <c r="D66" s="46"/>
      <c r="E66" s="47"/>
      <c r="F66" s="127"/>
      <c r="G66" s="139"/>
    </row>
    <row r="67" spans="1:7" s="54" customFormat="1" ht="63.75">
      <c r="A67" s="51" t="s">
        <v>47</v>
      </c>
      <c r="B67" s="52" t="s">
        <v>75</v>
      </c>
      <c r="C67" s="53" t="s">
        <v>48</v>
      </c>
      <c r="D67" s="52" t="s">
        <v>77</v>
      </c>
      <c r="E67" s="52" t="s">
        <v>78</v>
      </c>
      <c r="F67" s="129" t="s">
        <v>104</v>
      </c>
      <c r="G67" s="129" t="s">
        <v>102</v>
      </c>
    </row>
    <row r="68" spans="1:7" s="55" customFormat="1" ht="25.5" customHeight="1">
      <c r="A68" s="141">
        <v>1</v>
      </c>
      <c r="B68" s="142" t="s">
        <v>76</v>
      </c>
      <c r="C68" s="143" t="s">
        <v>91</v>
      </c>
      <c r="D68" s="144" t="s">
        <v>92</v>
      </c>
      <c r="E68" s="143" t="s">
        <v>97</v>
      </c>
      <c r="F68" s="145">
        <v>360</v>
      </c>
      <c r="G68" s="146"/>
    </row>
    <row r="69" spans="1:7" s="55" customFormat="1" ht="25.5" customHeight="1">
      <c r="A69" s="141">
        <v>2</v>
      </c>
      <c r="B69" s="142" t="s">
        <v>79</v>
      </c>
      <c r="C69" s="143" t="s">
        <v>93</v>
      </c>
      <c r="D69" s="143" t="s">
        <v>80</v>
      </c>
      <c r="E69" s="143" t="s">
        <v>81</v>
      </c>
      <c r="F69" s="145">
        <v>67.5</v>
      </c>
      <c r="G69" s="146"/>
    </row>
    <row r="70" spans="1:7" s="55" customFormat="1" ht="27.75" customHeight="1">
      <c r="A70" s="141">
        <v>3</v>
      </c>
      <c r="B70" s="142" t="s">
        <v>82</v>
      </c>
      <c r="C70" s="143" t="s">
        <v>94</v>
      </c>
      <c r="D70" s="144" t="s">
        <v>95</v>
      </c>
      <c r="E70" s="143" t="s">
        <v>86</v>
      </c>
      <c r="F70" s="145">
        <v>75</v>
      </c>
      <c r="G70" s="146"/>
    </row>
    <row r="71" spans="1:7" s="55" customFormat="1" ht="25.5" customHeight="1">
      <c r="A71" s="141">
        <v>4</v>
      </c>
      <c r="B71" s="142" t="s">
        <v>83</v>
      </c>
      <c r="C71" s="143" t="s">
        <v>98</v>
      </c>
      <c r="D71" s="143" t="s">
        <v>84</v>
      </c>
      <c r="E71" s="143" t="s">
        <v>85</v>
      </c>
      <c r="F71" s="145">
        <v>544</v>
      </c>
      <c r="G71" s="146"/>
    </row>
    <row r="72" spans="1:7" s="55" customFormat="1" ht="25.5" customHeight="1">
      <c r="A72" s="141">
        <v>5</v>
      </c>
      <c r="B72" s="142" t="s">
        <v>87</v>
      </c>
      <c r="C72" s="143" t="s">
        <v>100</v>
      </c>
      <c r="D72" s="144" t="s">
        <v>103</v>
      </c>
      <c r="E72" s="143" t="s">
        <v>96</v>
      </c>
      <c r="F72" s="145">
        <v>77.5</v>
      </c>
      <c r="G72" s="146"/>
    </row>
    <row r="73" spans="1:7" s="55" customFormat="1" ht="25.5" customHeight="1">
      <c r="A73" s="141">
        <v>6</v>
      </c>
      <c r="B73" s="142" t="s">
        <v>87</v>
      </c>
      <c r="C73" s="143" t="s">
        <v>99</v>
      </c>
      <c r="D73" s="144" t="s">
        <v>103</v>
      </c>
      <c r="E73" s="143" t="s">
        <v>96</v>
      </c>
      <c r="F73" s="145">
        <v>62.5</v>
      </c>
      <c r="G73" s="146"/>
    </row>
    <row r="74" spans="1:7" s="55" customFormat="1" ht="26.25" customHeight="1">
      <c r="A74" s="141">
        <v>7</v>
      </c>
      <c r="B74" s="142" t="s">
        <v>88</v>
      </c>
      <c r="C74" s="143" t="s">
        <v>101</v>
      </c>
      <c r="D74" s="143" t="s">
        <v>89</v>
      </c>
      <c r="E74" s="143" t="s">
        <v>90</v>
      </c>
      <c r="F74" s="145">
        <v>242</v>
      </c>
      <c r="G74" s="146"/>
    </row>
    <row r="75" spans="1:7" s="49" customFormat="1" ht="12.75">
      <c r="A75" s="46"/>
      <c r="B75" s="42"/>
      <c r="C75" s="46"/>
      <c r="D75" s="46"/>
      <c r="E75" s="47"/>
      <c r="F75" s="127"/>
      <c r="G75" s="140"/>
    </row>
    <row r="76" spans="1:7" s="42" customFormat="1" ht="12.75">
      <c r="A76" s="44"/>
      <c r="C76" s="46"/>
      <c r="D76" s="46"/>
      <c r="E76" s="47"/>
      <c r="F76" s="127"/>
      <c r="G76" s="139"/>
    </row>
    <row r="77" spans="1:7" s="42" customFormat="1" ht="13.5">
      <c r="A77" s="44"/>
      <c r="B77" s="56" t="s">
        <v>49</v>
      </c>
      <c r="C77" s="57" t="s">
        <v>46</v>
      </c>
      <c r="D77" s="57"/>
      <c r="E77" s="57"/>
      <c r="F77" s="57"/>
      <c r="G77" s="139"/>
    </row>
    <row r="78" spans="1:7" s="42" customFormat="1" ht="12.75">
      <c r="A78" s="44"/>
      <c r="B78" s="58"/>
      <c r="C78" s="59"/>
      <c r="D78" s="59"/>
      <c r="E78" s="60"/>
      <c r="F78" s="130"/>
      <c r="G78" s="139"/>
    </row>
    <row r="79" spans="1:7" s="42" customFormat="1" ht="12.75">
      <c r="A79" s="44"/>
      <c r="B79" s="56" t="s">
        <v>50</v>
      </c>
      <c r="C79" s="61">
        <v>46092</v>
      </c>
      <c r="D79" s="61"/>
      <c r="E79" s="61"/>
      <c r="F79" s="61"/>
      <c r="G79" s="139"/>
    </row>
  </sheetData>
  <mergeCells count="3">
    <mergeCell ref="C77:F77"/>
    <mergeCell ref="C79:F79"/>
    <mergeCell ref="G61:G63"/>
  </mergeCells>
  <phoneticPr fontId="42"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EB1BF-2102-48A0-866D-3A8477F52B19}">
  <dimension ref="A1:O56"/>
  <sheetViews>
    <sheetView zoomScaleNormal="100" workbookViewId="0">
      <selection activeCell="J10" sqref="J10"/>
    </sheetView>
  </sheetViews>
  <sheetFormatPr defaultColWidth="9.140625" defaultRowHeight="12.75"/>
  <cols>
    <col min="1" max="1" width="26.42578125" style="6" bestFit="1" customWidth="1"/>
    <col min="2" max="2" width="16.85546875" style="6" bestFit="1" customWidth="1"/>
    <col min="3" max="3" width="8.7109375" style="6" customWidth="1"/>
    <col min="4" max="4" width="13.28515625" style="6" bestFit="1" customWidth="1"/>
    <col min="5" max="5" width="16.85546875" style="6" bestFit="1" customWidth="1"/>
    <col min="6" max="6" width="17.42578125" style="6" bestFit="1" customWidth="1"/>
    <col min="7" max="7" width="14.28515625" style="6" customWidth="1"/>
    <col min="8" max="8" width="16.7109375" style="6" bestFit="1" customWidth="1"/>
    <col min="9" max="9" width="12.28515625" style="6" bestFit="1" customWidth="1"/>
    <col min="10" max="10" width="15.28515625" style="6" bestFit="1" customWidth="1"/>
    <col min="11" max="11" width="23.7109375" style="6" bestFit="1" customWidth="1"/>
    <col min="12" max="12" width="19" style="6" bestFit="1" customWidth="1"/>
    <col min="13" max="13" width="16.85546875" style="6" bestFit="1" customWidth="1"/>
    <col min="14" max="14" width="9.140625" style="6"/>
    <col min="15" max="15" width="20.7109375" style="6" customWidth="1"/>
    <col min="16" max="16384" width="9.140625" style="6"/>
  </cols>
  <sheetData>
    <row r="1" spans="1:15" ht="13.5" thickBot="1"/>
    <row r="2" spans="1:15" s="62" customFormat="1" ht="15.75" thickBot="1">
      <c r="D2" s="63" t="s">
        <v>0</v>
      </c>
      <c r="E2" s="63" t="s">
        <v>1</v>
      </c>
      <c r="F2" s="64" t="s">
        <v>2</v>
      </c>
      <c r="G2" s="65"/>
      <c r="H2" s="63" t="s">
        <v>3</v>
      </c>
      <c r="I2" s="64">
        <v>100</v>
      </c>
      <c r="K2" s="63" t="s">
        <v>51</v>
      </c>
      <c r="L2" s="64">
        <v>20</v>
      </c>
    </row>
    <row r="3" spans="1:15" ht="15.75" thickBot="1">
      <c r="A3" s="4" t="s">
        <v>52</v>
      </c>
      <c r="B3" s="66">
        <f>IF(F8&gt;=4,(G12+M23+K29+G47),F3*$H$56)</f>
        <v>2216.7162693043638</v>
      </c>
      <c r="E3" s="4" t="s">
        <v>53</v>
      </c>
      <c r="F3" s="67">
        <f>F4*F5</f>
        <v>1890</v>
      </c>
      <c r="H3" s="4" t="s">
        <v>4</v>
      </c>
      <c r="I3" s="7">
        <v>100</v>
      </c>
      <c r="K3" s="63" t="s">
        <v>54</v>
      </c>
      <c r="L3" s="68">
        <v>26</v>
      </c>
    </row>
    <row r="4" spans="1:15" ht="15.75" thickBot="1">
      <c r="A4" s="4" t="s">
        <v>55</v>
      </c>
      <c r="B4" s="69">
        <f>B3/F5</f>
        <v>5.2778958792961045E-2</v>
      </c>
      <c r="E4" s="4" t="s">
        <v>56</v>
      </c>
      <c r="F4" s="7">
        <v>4.4999999999999998E-2</v>
      </c>
      <c r="H4" s="4" t="s">
        <v>6</v>
      </c>
      <c r="I4" s="7">
        <v>100</v>
      </c>
    </row>
    <row r="5" spans="1:15" ht="15.75" thickBot="1">
      <c r="B5" s="70"/>
      <c r="E5" s="4" t="s">
        <v>5</v>
      </c>
      <c r="F5" s="7">
        <v>42000</v>
      </c>
      <c r="H5" s="4" t="s">
        <v>8</v>
      </c>
      <c r="I5" s="71">
        <v>1</v>
      </c>
      <c r="K5" s="72" t="s">
        <v>57</v>
      </c>
    </row>
    <row r="6" spans="1:15" ht="15.75" thickBot="1">
      <c r="E6" s="4" t="s">
        <v>7</v>
      </c>
      <c r="F6" s="73">
        <f>F3/$G$56</f>
        <v>5.2066115702479339</v>
      </c>
      <c r="H6" s="4" t="s">
        <v>9</v>
      </c>
      <c r="I6" s="73">
        <f>(I2/100)*(I3/100)*(I4/100)*I5</f>
        <v>1</v>
      </c>
      <c r="K6" s="72" t="s">
        <v>58</v>
      </c>
    </row>
    <row r="7" spans="1:15" ht="15.75" customHeight="1" thickBot="1">
      <c r="E7" s="4"/>
      <c r="F7" s="10"/>
    </row>
    <row r="8" spans="1:15" ht="15.75" thickBot="1">
      <c r="A8" s="74" t="s">
        <v>59</v>
      </c>
      <c r="B8" s="75"/>
      <c r="E8" s="4" t="s">
        <v>10</v>
      </c>
      <c r="F8" s="76">
        <f>IF(MAX(F6,I6)&lt;4,"4",IF(MAX(F6,I6)&gt;L3,"CBM is over container's size",MAX(F6,I6)))</f>
        <v>5.2066115702479339</v>
      </c>
      <c r="H8" s="4"/>
    </row>
    <row r="9" spans="1:15">
      <c r="A9" s="75"/>
      <c r="B9" s="75"/>
    </row>
    <row r="10" spans="1:15" ht="38.25" customHeight="1" thickBot="1">
      <c r="A10" s="75"/>
      <c r="B10" s="75"/>
      <c r="O10" s="6">
        <f>122/120-1</f>
        <v>1.6666666666666607E-2</v>
      </c>
    </row>
    <row r="11" spans="1:15" ht="15">
      <c r="D11" s="4" t="s">
        <v>11</v>
      </c>
      <c r="E11" s="4" t="s">
        <v>12</v>
      </c>
      <c r="F11" s="14" t="s">
        <v>13</v>
      </c>
      <c r="G11" s="15" t="s">
        <v>14</v>
      </c>
      <c r="H11" s="5"/>
      <c r="I11" s="5"/>
      <c r="J11" s="5"/>
      <c r="K11" s="77"/>
      <c r="L11" s="77"/>
      <c r="M11" s="77"/>
      <c r="N11" s="77"/>
      <c r="O11" s="77"/>
    </row>
    <row r="12" spans="1:15" ht="15.75" thickBot="1">
      <c r="F12" s="78">
        <f>HLOOKUP(F2,G14:J15,2,FALSE)</f>
        <v>187</v>
      </c>
      <c r="G12" s="79">
        <f>MAX(F12*F8,G19)</f>
        <v>973.63636363636363</v>
      </c>
      <c r="H12" s="5"/>
      <c r="I12" s="80"/>
      <c r="J12" s="80"/>
      <c r="K12" s="5"/>
    </row>
    <row r="13" spans="1:15" ht="13.5" thickBot="1">
      <c r="F13" s="5"/>
      <c r="G13" s="5"/>
      <c r="H13" s="5"/>
      <c r="I13" s="5" t="s">
        <v>60</v>
      </c>
      <c r="J13" s="5"/>
      <c r="K13" s="5"/>
    </row>
    <row r="14" spans="1:15" ht="13.5" thickBot="1">
      <c r="F14" s="14" t="s">
        <v>1</v>
      </c>
      <c r="G14" s="16" t="s">
        <v>15</v>
      </c>
      <c r="H14" s="16" t="s">
        <v>16</v>
      </c>
      <c r="I14" s="15" t="s">
        <v>2</v>
      </c>
      <c r="J14" s="15" t="s">
        <v>61</v>
      </c>
      <c r="K14" s="81" t="s">
        <v>62</v>
      </c>
    </row>
    <row r="15" spans="1:15" ht="13.5" thickBot="1">
      <c r="F15" s="17" t="s">
        <v>17</v>
      </c>
      <c r="G15" s="82">
        <v>214</v>
      </c>
      <c r="H15" s="83">
        <v>245</v>
      </c>
      <c r="I15" s="83">
        <v>187</v>
      </c>
      <c r="J15" s="83">
        <v>210</v>
      </c>
      <c r="K15" s="84">
        <v>125</v>
      </c>
    </row>
    <row r="16" spans="1:15" ht="13.5" thickBot="1">
      <c r="F16" s="17" t="s">
        <v>18</v>
      </c>
      <c r="G16" s="82">
        <v>8440</v>
      </c>
      <c r="H16" s="83">
        <v>8710</v>
      </c>
      <c r="I16" s="83">
        <v>8250</v>
      </c>
      <c r="J16" s="83">
        <v>8150</v>
      </c>
      <c r="K16" s="84">
        <v>6736</v>
      </c>
    </row>
    <row r="17" spans="4:14" ht="13.5" thickBot="1">
      <c r="F17" s="18" t="s">
        <v>19</v>
      </c>
      <c r="G17" s="82">
        <v>10495</v>
      </c>
      <c r="H17" s="83">
        <v>10825</v>
      </c>
      <c r="I17" s="83">
        <v>10250</v>
      </c>
      <c r="J17" s="83">
        <v>10125</v>
      </c>
      <c r="K17" s="84">
        <v>7536</v>
      </c>
    </row>
    <row r="18" spans="4:14" ht="13.5" thickBot="1">
      <c r="F18" s="5"/>
      <c r="G18" s="5"/>
      <c r="H18" s="5"/>
      <c r="I18" s="5"/>
      <c r="J18" s="5"/>
      <c r="K18" s="5"/>
    </row>
    <row r="19" spans="4:14" ht="15.75" thickBot="1">
      <c r="F19" s="20" t="s">
        <v>20</v>
      </c>
      <c r="G19" s="21">
        <v>0</v>
      </c>
      <c r="H19" s="5"/>
      <c r="I19" s="5"/>
      <c r="J19" s="5"/>
      <c r="K19" s="85"/>
    </row>
    <row r="21" spans="4:14" ht="13.5" thickBot="1">
      <c r="F21" s="5"/>
      <c r="G21" s="5"/>
      <c r="H21" s="5"/>
      <c r="I21" s="5"/>
      <c r="J21" s="5"/>
      <c r="K21" s="5"/>
    </row>
    <row r="22" spans="4:14" ht="15">
      <c r="E22" s="4" t="s">
        <v>21</v>
      </c>
      <c r="F22" s="14" t="s">
        <v>1</v>
      </c>
      <c r="G22" s="16" t="s">
        <v>15</v>
      </c>
      <c r="H22" s="16" t="s">
        <v>16</v>
      </c>
      <c r="I22" s="16" t="s">
        <v>2</v>
      </c>
      <c r="J22" s="16" t="s">
        <v>61</v>
      </c>
      <c r="K22" s="16" t="s">
        <v>13</v>
      </c>
      <c r="L22" s="16" t="s">
        <v>63</v>
      </c>
      <c r="M22" s="15" t="s">
        <v>64</v>
      </c>
    </row>
    <row r="23" spans="4:14" ht="15.75" thickBot="1">
      <c r="E23" s="4" t="s">
        <v>22</v>
      </c>
      <c r="F23" s="18" t="s">
        <v>23</v>
      </c>
      <c r="G23" s="19">
        <v>3.75</v>
      </c>
      <c r="H23" s="19">
        <v>3.75</v>
      </c>
      <c r="I23" s="19">
        <v>3.75</v>
      </c>
      <c r="J23" s="19">
        <v>3.75</v>
      </c>
      <c r="K23" s="86">
        <f>HLOOKUP(F2,G22:J23,2,FALSE)</f>
        <v>3.75</v>
      </c>
      <c r="L23" s="19">
        <v>171.15</v>
      </c>
      <c r="M23" s="79">
        <f>MAX(G25,$F$29/100*K23)+$L$23</f>
        <v>327.40244250000001</v>
      </c>
      <c r="N23" s="4" t="s">
        <v>65</v>
      </c>
    </row>
    <row r="24" spans="4:14" ht="15.75" thickBot="1">
      <c r="D24" s="4"/>
      <c r="F24" s="5"/>
      <c r="G24" s="5"/>
      <c r="H24" s="5"/>
      <c r="I24" s="5"/>
      <c r="J24" s="5"/>
      <c r="K24" s="5"/>
    </row>
    <row r="25" spans="4:14" ht="15.75" thickBot="1">
      <c r="F25" s="20" t="s">
        <v>20</v>
      </c>
      <c r="G25" s="21">
        <v>75</v>
      </c>
      <c r="H25" s="5"/>
      <c r="I25" s="5"/>
      <c r="J25" s="5"/>
      <c r="K25" s="5"/>
    </row>
    <row r="26" spans="4:14">
      <c r="F26" s="5"/>
      <c r="G26" s="5"/>
      <c r="H26" s="5"/>
      <c r="I26" s="5"/>
      <c r="J26" s="5"/>
      <c r="K26" s="5"/>
    </row>
    <row r="27" spans="4:14" ht="15.75" thickBot="1">
      <c r="E27" s="22"/>
      <c r="F27" s="5"/>
      <c r="G27" s="5"/>
      <c r="H27" s="5"/>
      <c r="I27" s="5"/>
      <c r="J27" s="5"/>
      <c r="K27" s="5"/>
    </row>
    <row r="28" spans="4:14" ht="15">
      <c r="E28" s="4" t="s">
        <v>24</v>
      </c>
      <c r="F28" s="23" t="s">
        <v>25</v>
      </c>
      <c r="G28" s="24" t="s">
        <v>26</v>
      </c>
      <c r="H28" s="24" t="s">
        <v>27</v>
      </c>
      <c r="I28" s="24" t="s">
        <v>66</v>
      </c>
      <c r="J28" s="24" t="s">
        <v>67</v>
      </c>
      <c r="K28" s="87" t="s">
        <v>68</v>
      </c>
    </row>
    <row r="29" spans="4:14" ht="15.75" thickBot="1">
      <c r="E29" s="4" t="s">
        <v>22</v>
      </c>
      <c r="F29" s="88">
        <f>F3*$F$56</f>
        <v>4166.7317999999996</v>
      </c>
      <c r="G29" s="86">
        <f>VLOOKUP(F29,F35:H39,3)</f>
        <v>12.95</v>
      </c>
      <c r="H29" s="86">
        <f>F29/100*G29</f>
        <v>539.59176809999985</v>
      </c>
      <c r="I29" s="86">
        <f>MIN(MAX(H29,G31),G32)</f>
        <v>539.59176809999985</v>
      </c>
      <c r="J29" s="89">
        <v>0.28000000000000003</v>
      </c>
      <c r="K29" s="79">
        <f>I29*(1+$J$29)</f>
        <v>690.6774631679998</v>
      </c>
    </row>
    <row r="30" spans="4:14" ht="13.5" thickBot="1">
      <c r="F30" s="5"/>
      <c r="G30" s="5"/>
      <c r="H30" s="5"/>
      <c r="I30" s="5"/>
      <c r="J30" s="5"/>
      <c r="K30" s="5"/>
    </row>
    <row r="31" spans="4:14" ht="15">
      <c r="F31" s="25" t="s">
        <v>20</v>
      </c>
      <c r="G31" s="26">
        <v>150</v>
      </c>
      <c r="H31" s="5"/>
      <c r="I31" s="5"/>
      <c r="J31" s="5"/>
      <c r="K31" s="5"/>
    </row>
    <row r="32" spans="4:14" ht="15.75" thickBot="1">
      <c r="F32" s="27" t="s">
        <v>28</v>
      </c>
      <c r="G32" s="28">
        <v>595</v>
      </c>
      <c r="H32" s="5"/>
      <c r="I32" s="5"/>
      <c r="J32" s="5"/>
      <c r="K32" s="5"/>
    </row>
    <row r="33" spans="1:15" ht="15" thickBot="1">
      <c r="A33" s="90"/>
      <c r="B33" s="90"/>
      <c r="C33" s="90"/>
      <c r="F33" s="5"/>
      <c r="G33" s="5"/>
      <c r="H33" s="5"/>
      <c r="I33" s="5"/>
      <c r="J33" s="5"/>
      <c r="K33" s="5"/>
    </row>
    <row r="34" spans="1:15" ht="15.75" thickBot="1">
      <c r="A34" s="90"/>
      <c r="B34" s="90"/>
      <c r="C34" s="90"/>
      <c r="F34" s="29" t="s">
        <v>29</v>
      </c>
      <c r="G34" s="30" t="s">
        <v>30</v>
      </c>
      <c r="H34" s="31" t="s">
        <v>26</v>
      </c>
      <c r="I34" s="5"/>
      <c r="J34" s="5"/>
      <c r="K34" s="5"/>
    </row>
    <row r="35" spans="1:15" ht="20.25" thickBot="1">
      <c r="A35" s="90"/>
      <c r="B35" s="90"/>
      <c r="C35" s="90"/>
      <c r="F35" s="91">
        <v>0</v>
      </c>
      <c r="G35" s="92">
        <v>499</v>
      </c>
      <c r="H35" s="32">
        <v>17.350000000000001</v>
      </c>
      <c r="I35" s="5"/>
      <c r="J35" s="5"/>
      <c r="K35" s="93" t="s">
        <v>69</v>
      </c>
      <c r="L35" s="94"/>
      <c r="M35" s="94"/>
      <c r="N35" s="94"/>
      <c r="O35" s="95"/>
    </row>
    <row r="36" spans="1:15" ht="15">
      <c r="F36" s="91">
        <v>500</v>
      </c>
      <c r="G36" s="92">
        <v>1999</v>
      </c>
      <c r="H36" s="32">
        <v>13.95</v>
      </c>
      <c r="I36" s="5"/>
      <c r="J36" s="5"/>
      <c r="K36" s="96" t="s">
        <v>70</v>
      </c>
      <c r="L36" s="97">
        <v>45170</v>
      </c>
      <c r="M36" s="97"/>
      <c r="N36" s="98" t="s">
        <v>43</v>
      </c>
      <c r="O36" s="99" t="s">
        <v>71</v>
      </c>
    </row>
    <row r="37" spans="1:15" ht="15">
      <c r="F37" s="91">
        <v>2000</v>
      </c>
      <c r="G37" s="92">
        <v>5999</v>
      </c>
      <c r="H37" s="32">
        <v>12.95</v>
      </c>
      <c r="I37" s="5"/>
      <c r="J37" s="5"/>
      <c r="K37" s="100"/>
      <c r="L37" s="101"/>
      <c r="M37" s="101"/>
      <c r="N37" s="102"/>
      <c r="O37" s="103" t="s">
        <v>72</v>
      </c>
    </row>
    <row r="38" spans="1:15" ht="15">
      <c r="F38" s="91">
        <v>6000</v>
      </c>
      <c r="G38" s="92">
        <v>11999</v>
      </c>
      <c r="H38" s="32">
        <v>10.95</v>
      </c>
      <c r="I38" s="5"/>
      <c r="J38" s="5"/>
      <c r="K38" s="100"/>
      <c r="L38" s="101"/>
      <c r="M38" s="101"/>
      <c r="N38" s="104"/>
      <c r="O38" s="103" t="s">
        <v>73</v>
      </c>
    </row>
    <row r="39" spans="1:15" ht="15.75" thickBot="1">
      <c r="F39" s="105">
        <v>12000</v>
      </c>
      <c r="G39" s="106"/>
      <c r="H39" s="33">
        <v>9.9499999999999993</v>
      </c>
      <c r="I39" s="5"/>
      <c r="J39" s="5"/>
      <c r="K39" s="107"/>
      <c r="L39" s="108"/>
      <c r="M39" s="108"/>
      <c r="N39" s="109"/>
      <c r="O39" s="110"/>
    </row>
    <row r="40" spans="1:15">
      <c r="F40" s="5"/>
      <c r="G40" s="5"/>
      <c r="H40" s="5"/>
      <c r="I40" s="5"/>
      <c r="J40" s="5"/>
      <c r="K40" s="111" t="s">
        <v>74</v>
      </c>
      <c r="L40" s="112"/>
      <c r="M40" s="112"/>
      <c r="N40" s="112"/>
      <c r="O40" s="113"/>
    </row>
    <row r="41" spans="1:15" ht="13.5" thickBot="1">
      <c r="F41" s="5"/>
      <c r="G41" s="5"/>
      <c r="H41" s="5"/>
      <c r="I41" s="5"/>
      <c r="J41" s="5"/>
      <c r="K41" s="114"/>
      <c r="L41" s="74"/>
      <c r="M41" s="74"/>
      <c r="N41" s="74"/>
      <c r="O41" s="115"/>
    </row>
    <row r="42" spans="1:15" ht="15">
      <c r="D42" s="4" t="s">
        <v>31</v>
      </c>
      <c r="E42" s="4" t="s">
        <v>32</v>
      </c>
      <c r="F42" s="116" t="s">
        <v>33</v>
      </c>
      <c r="G42" s="34">
        <v>115</v>
      </c>
      <c r="H42" s="5"/>
      <c r="I42" s="5"/>
      <c r="J42" s="5"/>
      <c r="K42" s="114"/>
      <c r="L42" s="74"/>
      <c r="M42" s="74"/>
      <c r="N42" s="74"/>
      <c r="O42" s="115"/>
    </row>
    <row r="43" spans="1:15" ht="15.75" thickBot="1">
      <c r="F43" s="117" t="s">
        <v>34</v>
      </c>
      <c r="G43" s="32">
        <v>50</v>
      </c>
      <c r="H43" s="5"/>
      <c r="I43" s="5"/>
      <c r="J43" s="5"/>
      <c r="K43" s="118"/>
      <c r="L43" s="119"/>
      <c r="M43" s="119"/>
      <c r="N43" s="119"/>
      <c r="O43" s="120"/>
    </row>
    <row r="44" spans="1:15" ht="15">
      <c r="F44" s="117" t="s">
        <v>35</v>
      </c>
      <c r="G44" s="32">
        <v>25</v>
      </c>
      <c r="H44" s="5"/>
      <c r="I44" s="5"/>
      <c r="J44" s="5"/>
      <c r="K44" s="5"/>
    </row>
    <row r="45" spans="1:15" ht="15">
      <c r="F45" s="117" t="s">
        <v>36</v>
      </c>
      <c r="G45" s="32">
        <v>10</v>
      </c>
      <c r="H45" s="5"/>
      <c r="I45" s="5"/>
      <c r="J45" s="5"/>
      <c r="K45" s="5"/>
    </row>
    <row r="46" spans="1:15" ht="15">
      <c r="F46" s="117" t="s">
        <v>37</v>
      </c>
      <c r="G46" s="32">
        <v>25</v>
      </c>
      <c r="H46" s="5"/>
      <c r="I46" s="5"/>
      <c r="J46" s="5"/>
      <c r="K46" s="5"/>
    </row>
    <row r="47" spans="1:15" ht="15.75" thickBot="1">
      <c r="F47" s="121" t="s">
        <v>27</v>
      </c>
      <c r="G47" s="79">
        <f>SUM(G42:G46)</f>
        <v>225</v>
      </c>
      <c r="H47" s="5"/>
      <c r="I47" s="5"/>
      <c r="J47" s="5"/>
      <c r="K47" s="5"/>
    </row>
    <row r="48" spans="1:15">
      <c r="F48" s="5"/>
      <c r="G48" s="5"/>
      <c r="H48" s="5"/>
      <c r="I48" s="5"/>
      <c r="J48" s="5"/>
      <c r="K48" s="5"/>
    </row>
    <row r="50" spans="4:8" ht="15">
      <c r="D50" s="4" t="s">
        <v>38</v>
      </c>
      <c r="E50" s="4" t="s">
        <v>39</v>
      </c>
      <c r="F50" s="6" t="s">
        <v>1</v>
      </c>
    </row>
    <row r="51" spans="4:8">
      <c r="F51" s="6" t="s">
        <v>15</v>
      </c>
    </row>
    <row r="52" spans="4:8">
      <c r="F52" s="6" t="s">
        <v>16</v>
      </c>
    </row>
    <row r="53" spans="4:8">
      <c r="F53" s="6" t="s">
        <v>2</v>
      </c>
    </row>
    <row r="54" spans="4:8" ht="15">
      <c r="F54" s="122" t="s">
        <v>61</v>
      </c>
    </row>
    <row r="55" spans="4:8" ht="15">
      <c r="F55" s="4" t="s">
        <v>40</v>
      </c>
      <c r="G55" s="4" t="s">
        <v>41</v>
      </c>
      <c r="H55" s="4" t="s">
        <v>42</v>
      </c>
    </row>
    <row r="56" spans="4:8" ht="15">
      <c r="F56" s="37">
        <v>2.2046199999999998</v>
      </c>
      <c r="G56" s="123">
        <v>363</v>
      </c>
      <c r="H56" s="32">
        <v>0.72</v>
      </c>
    </row>
  </sheetData>
  <mergeCells count="5">
    <mergeCell ref="A8:B10"/>
    <mergeCell ref="K35:O35"/>
    <mergeCell ref="K36:K39"/>
    <mergeCell ref="L36:M39"/>
    <mergeCell ref="K40:O43"/>
  </mergeCells>
  <dataValidations count="2">
    <dataValidation type="list" allowBlank="1" showInputMessage="1" showErrorMessage="1" sqref="L2" xr:uid="{AA414220-76C3-4DA4-9318-690A201BCC73}">
      <formula1>"20, 40"</formula1>
    </dataValidation>
    <dataValidation type="list" allowBlank="1" showInputMessage="1" showErrorMessage="1" sqref="F2" xr:uid="{3295F0A0-78CD-41DF-B69C-AEC482B72397}">
      <formula1>tbl_origin</formula1>
    </dataValidation>
  </dataValidations>
  <pageMargins left="0.7" right="0.7" top="0.75" bottom="0.75" header="0.3" footer="0.3"/>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Template</vt:lpstr>
      <vt:lpstr>Calculation Sheet</vt:lpstr>
      <vt:lpstr>'Calculation Sheet'!tbl_origin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Tang</dc:creator>
  <cp:lastModifiedBy>Max Tang</cp:lastModifiedBy>
  <dcterms:created xsi:type="dcterms:W3CDTF">2026-03-11T15:24:25Z</dcterms:created>
  <dcterms:modified xsi:type="dcterms:W3CDTF">2026-03-11T15:56:17Z</dcterms:modified>
</cp:coreProperties>
</file>