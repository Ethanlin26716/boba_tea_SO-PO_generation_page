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528" yWindow="17172" windowWidth="23256" windowHeight="13896" tabRatio="500" firstSheet="0" activeTab="0" autoFilterDateGrouping="1"/>
  </bookViews>
  <sheets>
    <sheet xmlns:r="http://schemas.openxmlformats.org/officeDocument/2006/relationships" name="Monthly 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0.0%;\(0.0%\);\-"/>
    <numFmt numFmtId="166" formatCode="#,##0.0"/>
    <numFmt numFmtId="167" formatCode="0.0%;(0.0%);&quot;-&quot;"/>
    <numFmt numFmtId="168" formatCode="$#,##0.00;($#,##0.00);&quot;-&quot;"/>
  </numFmts>
  <fonts count="7">
    <font>
      <name val="Calibri"/>
      <charset val="1"/>
      <family val="2"/>
      <color theme="1"/>
      <sz val="11"/>
    </font>
    <font>
      <name val="Arial"/>
      <family val="2"/>
      <b val="1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3864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B3F00"/>
        <bgColor rgb="FF993366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DDEBF7"/>
      </patternFill>
    </fill>
    <fill>
      <patternFill patternType="solid">
        <fgColor rgb="FFFBE5D6"/>
        <bgColor rgb="FFFFF2CC"/>
      </patternFill>
    </fill>
    <fill>
      <patternFill patternType="solid">
        <fgColor rgb="FFDDEB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165" fontId="5" fillId="4" borderId="1" pivotButton="0" quotePrefix="0" xfId="0"/>
    <xf numFmtId="164" fontId="5" fillId="4" borderId="1" pivotButton="0" quotePrefix="0" xfId="0"/>
    <xf numFmtId="166" fontId="4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5" fillId="5" borderId="1" pivotButton="0" quotePrefix="0" xfId="0"/>
    <xf numFmtId="164" fontId="5" fillId="6" borderId="1" pivotButton="0" quotePrefix="0" xfId="0"/>
    <xf numFmtId="165" fontId="5" fillId="6" borderId="1" pivotButton="0" quotePrefix="0" xfId="0"/>
    <xf numFmtId="166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5" fillId="7" borderId="2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164" fontId="5" fillId="0" borderId="1" pivotButton="0" quotePrefix="0" xfId="0"/>
    <xf numFmtId="165" fontId="5" fillId="0" borderId="1" pivotButton="0" quotePrefix="0" xfId="0"/>
    <xf numFmtId="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  <xf numFmtId="167" fontId="5" fillId="4" borderId="1" pivotButton="0" quotePrefix="0" xfId="0"/>
    <xf numFmtId="168" fontId="4" fillId="4" borderId="1" pivotButton="0" quotePrefix="0" xfId="0"/>
    <xf numFmtId="168" fontId="5" fillId="4" borderId="1" pivotButton="0" quotePrefix="0" xfId="0"/>
    <xf numFmtId="167" fontId="5" fillId="5" borderId="1" pivotButton="0" quotePrefix="0" xfId="0"/>
    <xf numFmtId="167" fontId="5" fillId="6" borderId="1" pivotButton="0" quotePrefix="0" xfId="0"/>
    <xf numFmtId="168" fontId="4" fillId="0" borderId="1" pivotButton="0" quotePrefix="0" xfId="0"/>
    <xf numFmtId="168" fontId="5" fillId="6" borderId="1" pivotButton="0" quotePrefix="0" xfId="0"/>
    <xf numFmtId="168" fontId="5" fillId="7" borderId="2" pivotButton="0" quotePrefix="0" xfId="0"/>
    <xf numFmtId="168" fontId="5" fillId="0" borderId="1" pivotButton="0" quotePrefix="0" xfId="0"/>
    <xf numFmtId="167" fontId="5" fillId="0" borderId="1" pivotButton="0" quotePrefix="0" xfId="0"/>
    <xf numFmtId="168" fontId="5" fillId="7" borderId="1" pivotButton="0" quotePrefix="0" xfId="0"/>
    <xf numFmtId="167" fontId="5" fillId="7" borderId="1" pivotButton="0" quotePrefix="0" xfId="0"/>
  </cellXfs>
  <cellStyles count="1">
    <cellStyle name="Normal" xfId="0" builtinId="0"/>
  </cellStyles>
  <dxfs count="3">
    <dxf>
      <font>
        <name val="Arial"/>
        <charset val="1"/>
        <b val="1"/>
        <color rgb="FFC00000"/>
        <sz val="10"/>
      </font>
    </dxf>
    <dxf>
      <font>
        <name val="Arial"/>
        <charset val="1"/>
        <b val="1"/>
        <color rgb="FFC00000"/>
        <sz val="10"/>
      </font>
    </dxf>
    <dxf>
      <font>
        <name val="Arial"/>
        <charset val="1"/>
        <b val="1"/>
        <color rgb="FFC00000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B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36"/>
  <sheetViews>
    <sheetView showGridLines="0" tabSelected="1" zoomScaleNormal="100" workbookViewId="0">
      <selection activeCell="D8" sqref="D8"/>
    </sheetView>
  </sheetViews>
  <sheetFormatPr baseColWidth="8" defaultColWidth="8.6640625" defaultRowHeight="14.4"/>
  <cols>
    <col width="2" customWidth="1" min="1" max="1"/>
    <col width="26" customWidth="1" min="2" max="2"/>
    <col width="9" customWidth="1" min="3" max="3"/>
    <col width="34" customWidth="1" min="4" max="4"/>
    <col width="15" customWidth="1" min="5" max="5"/>
    <col width="11" customWidth="1" min="6" max="7"/>
    <col width="12" customWidth="1" min="8" max="9"/>
    <col width="11" customWidth="1" min="10" max="10"/>
    <col width="12" customWidth="1" min="11" max="11"/>
    <col width="9" customWidth="1" min="12" max="12"/>
    <col width="12" customWidth="1" min="13" max="14"/>
    <col width="11" customWidth="1" min="15" max="16"/>
  </cols>
  <sheetData>
    <row r="1" ht="17.4" customHeight="1">
      <c r="B1" s="1" t="inlineStr">
        <is>
          <t>InfiniTea — Ingredient Cost, Pricing &amp; Margin Summary</t>
        </is>
      </c>
    </row>
    <row r="2">
      <c r="B2" s="2" t="inlineStr">
        <is>
          <t>One restaurant, per month, based on 400 cups served. US domestic suppliers only. New prices are set to practical price points at or near a 30% gross margin; items already above 30% are held at their current price.</t>
        </is>
      </c>
    </row>
    <row r="4" ht="42" customHeight="1">
      <c r="B4" s="3" t="inlineStr">
        <is>
          <t>Item</t>
        </is>
      </c>
      <c r="C4" s="3" t="inlineStr">
        <is>
          <t>Source</t>
        </is>
      </c>
      <c r="D4" s="3" t="inlineStr">
        <is>
          <t>Purchase pack</t>
        </is>
      </c>
      <c r="E4" s="3" t="inlineStr">
        <is>
          <t>Selling unit</t>
        </is>
      </c>
      <c r="F4" s="3" t="inlineStr">
        <is>
          <t>Our cost / unit</t>
        </is>
      </c>
      <c r="G4" s="3" t="inlineStr">
        <is>
          <t>Landed cost / unit</t>
        </is>
      </c>
      <c r="H4" s="3" t="inlineStr">
        <is>
          <t>Current price</t>
        </is>
      </c>
      <c r="I4" s="3" t="inlineStr">
        <is>
          <t>Gross margin (current)</t>
        </is>
      </c>
      <c r="J4" s="4" t="inlineStr">
        <is>
          <t>NEW price</t>
        </is>
      </c>
      <c r="K4" s="4" t="inlineStr">
        <is>
          <t>Gross margin (new)</t>
        </is>
      </c>
      <c r="L4" s="3" t="inlineStr">
        <is>
          <t>Qty / mo</t>
        </is>
      </c>
      <c r="M4" s="3" t="inlineStr">
        <is>
          <t>Bill now</t>
        </is>
      </c>
      <c r="N4" s="4" t="inlineStr">
        <is>
          <t>Bill NEW</t>
        </is>
      </c>
      <c r="O4" s="3" t="inlineStr">
        <is>
          <t>Gross income now</t>
        </is>
      </c>
      <c r="P4" s="4" t="inlineStr">
        <is>
          <t>Gross income NEW</t>
        </is>
      </c>
    </row>
    <row r="5">
      <c r="B5" s="5" t="inlineStr">
        <is>
          <t>Ice Blanc, 1L</t>
        </is>
      </c>
      <c r="C5" s="5" t="inlineStr">
        <is>
          <t>TianYi</t>
        </is>
      </c>
      <c r="D5" s="5" t="inlineStr">
        <is>
          <t>Box of 12 x 1kg</t>
        </is>
      </c>
      <c r="E5" s="5" t="inlineStr">
        <is>
          <t>1 kg bottle</t>
        </is>
      </c>
      <c r="F5" s="6" t="n">
        <v>5.86666666666667</v>
      </c>
      <c r="G5" s="6" t="n">
        <v>7.49166666666667</v>
      </c>
      <c r="H5" s="6" t="n">
        <v>12</v>
      </c>
      <c r="I5" s="26" t="n">
        <v>0.3756944444444442</v>
      </c>
      <c r="J5" s="8" t="n">
        <v>12</v>
      </c>
      <c r="K5" s="26" t="n">
        <v>0.3756944444444442</v>
      </c>
      <c r="L5" s="9" t="n">
        <v>10</v>
      </c>
      <c r="M5" s="27" t="n">
        <v>120</v>
      </c>
      <c r="N5" s="28" t="n">
        <v>120</v>
      </c>
      <c r="O5" s="27" t="n">
        <v>45.0833333333333</v>
      </c>
      <c r="P5" s="28" t="n">
        <v>45.0833333333333</v>
      </c>
    </row>
    <row r="6">
      <c r="B6" s="5" t="inlineStr">
        <is>
          <t>Pop Boba, 6.6 lb can</t>
        </is>
      </c>
      <c r="C6" s="5" t="inlineStr">
        <is>
          <t>Boduo</t>
        </is>
      </c>
      <c r="D6" s="5" t="inlineStr">
        <is>
          <t>Case of 4 buckets</t>
        </is>
      </c>
      <c r="E6" s="5" t="inlineStr">
        <is>
          <t>6.6 lb can</t>
        </is>
      </c>
      <c r="F6" s="6" t="n">
        <v>11.25</v>
      </c>
      <c r="G6" s="6" t="n">
        <v>16.4478970588235</v>
      </c>
      <c r="H6" s="6" t="n">
        <v>24</v>
      </c>
      <c r="I6" s="26" t="n">
        <v>0.3146709558823542</v>
      </c>
      <c r="J6" s="8" t="n">
        <v>24</v>
      </c>
      <c r="K6" s="26" t="n">
        <v>0.3146709558823542</v>
      </c>
      <c r="L6" s="9" t="n">
        <v>2</v>
      </c>
      <c r="M6" s="27" t="n">
        <v>48</v>
      </c>
      <c r="N6" s="28" t="n">
        <v>48</v>
      </c>
      <c r="O6" s="27" t="n">
        <v>15.104205882353</v>
      </c>
      <c r="P6" s="28" t="n">
        <v>15.104205882353</v>
      </c>
    </row>
    <row r="7">
      <c r="B7" s="10" t="inlineStr">
        <is>
          <t>Cups / Lids / Straws</t>
        </is>
      </c>
      <c r="C7" s="10" t="inlineStr">
        <is>
          <t>Troika</t>
        </is>
      </c>
      <c r="D7" s="10" t="inlineStr">
        <is>
          <t>Cartons: 1000 cups, 1000 lids, 2250 straws</t>
        </is>
      </c>
      <c r="E7" s="10" t="inlineStr">
        <is>
          <t>500-piece set</t>
        </is>
      </c>
      <c r="F7" s="11" t="n">
        <v>89.1666666666667</v>
      </c>
      <c r="G7" s="11" t="n">
        <v>110.016235057431</v>
      </c>
      <c r="H7" s="11" t="n">
        <v>135</v>
      </c>
      <c r="I7" s="29" t="n">
        <v>0.1850649255005111</v>
      </c>
      <c r="J7" s="13" t="n">
        <v>157</v>
      </c>
      <c r="K7" s="30" t="n">
        <v>0.2992596493157261</v>
      </c>
      <c r="L7" s="15" t="n">
        <v>0.8</v>
      </c>
      <c r="M7" s="31" t="n">
        <v>108</v>
      </c>
      <c r="N7" s="32" t="n">
        <v>125.6</v>
      </c>
      <c r="O7" s="31" t="n">
        <v>19.98701195405519</v>
      </c>
      <c r="P7" s="32" t="n">
        <v>37.5870119540552</v>
      </c>
    </row>
    <row r="8">
      <c r="B8" s="10" t="inlineStr">
        <is>
          <t>Green Tea (Selected)</t>
        </is>
      </c>
      <c r="C8" s="10" t="inlineStr">
        <is>
          <t>Troika</t>
        </is>
      </c>
      <c r="D8" s="10" t="inlineStr">
        <is>
          <t>Case of 15 bags</t>
        </is>
      </c>
      <c r="E8" s="10" t="inlineStr">
        <is>
          <t>500 g bag</t>
        </is>
      </c>
      <c r="F8" s="11" t="n">
        <v>11.1</v>
      </c>
      <c r="G8" s="11" t="n">
        <v>13.6954789809811</v>
      </c>
      <c r="H8" s="11" t="n">
        <v>16.2</v>
      </c>
      <c r="I8" s="29" t="n">
        <v>0.1546000629024012</v>
      </c>
      <c r="J8" s="13" t="n">
        <v>19.7</v>
      </c>
      <c r="K8" s="30" t="n">
        <v>0.3047980212699949</v>
      </c>
      <c r="L8" s="15" t="n">
        <v>3.5</v>
      </c>
      <c r="M8" s="31" t="n">
        <v>56.7</v>
      </c>
      <c r="N8" s="32" t="n">
        <v>68.95</v>
      </c>
      <c r="O8" s="31" t="n">
        <v>8.765823566566148</v>
      </c>
      <c r="P8" s="32" t="n">
        <v>21.01582356656616</v>
      </c>
    </row>
    <row r="9">
      <c r="B9" s="10" t="inlineStr">
        <is>
          <t>Brown Sugar Syrup</t>
        </is>
      </c>
      <c r="C9" s="10" t="inlineStr">
        <is>
          <t>Boduo</t>
        </is>
      </c>
      <c r="D9" s="10" t="inlineStr">
        <is>
          <t>Case of 8 x 68 fl.oz</t>
        </is>
      </c>
      <c r="E9" s="10" t="inlineStr">
        <is>
          <t>2 L bottle</t>
        </is>
      </c>
      <c r="F9" s="11" t="n">
        <v>10.375</v>
      </c>
      <c r="G9" s="11" t="n">
        <v>15.1686161764706</v>
      </c>
      <c r="H9" s="11" t="n">
        <v>15.6</v>
      </c>
      <c r="I9" s="29" t="n">
        <v>0.02765280920060254</v>
      </c>
      <c r="J9" s="13" t="n">
        <v>21.8</v>
      </c>
      <c r="K9" s="30" t="n">
        <v>0.304191918510523</v>
      </c>
      <c r="L9" s="15" t="n">
        <v>4</v>
      </c>
      <c r="M9" s="31" t="n">
        <v>62.4</v>
      </c>
      <c r="N9" s="32" t="n">
        <v>87.2</v>
      </c>
      <c r="O9" s="31" t="n">
        <v>1.725535294117599</v>
      </c>
      <c r="P9" s="32" t="n">
        <v>26.5255352941176</v>
      </c>
    </row>
    <row r="10">
      <c r="B10" s="10" t="inlineStr">
        <is>
          <t>Black Tea (Selected)</t>
        </is>
      </c>
      <c r="C10" s="10" t="inlineStr">
        <is>
          <t>Troika</t>
        </is>
      </c>
      <c r="D10" s="10" t="inlineStr">
        <is>
          <t>Case of 15 bags</t>
        </is>
      </c>
      <c r="E10" s="10" t="inlineStr">
        <is>
          <t>500 g bag</t>
        </is>
      </c>
      <c r="F10" s="11" t="n">
        <v>9.1</v>
      </c>
      <c r="G10" s="11" t="n">
        <v>11.2278251105341</v>
      </c>
      <c r="H10" s="11" t="n">
        <v>12.3</v>
      </c>
      <c r="I10" s="29" t="n">
        <v>0.08716869020047971</v>
      </c>
      <c r="J10" s="13" t="n">
        <v>16</v>
      </c>
      <c r="K10" s="30" t="n">
        <v>0.2982609305916187</v>
      </c>
      <c r="L10" s="15" t="n">
        <v>3.5</v>
      </c>
      <c r="M10" s="31" t="n">
        <v>43.05</v>
      </c>
      <c r="N10" s="32" t="n">
        <v>56</v>
      </c>
      <c r="O10" s="31" t="n">
        <v>3.752612113130652</v>
      </c>
      <c r="P10" s="32" t="n">
        <v>16.70261211313065</v>
      </c>
    </row>
    <row r="11">
      <c r="B11" s="10" t="inlineStr">
        <is>
          <t>Mango Syrup</t>
        </is>
      </c>
      <c r="C11" s="10" t="inlineStr">
        <is>
          <t>Boduo</t>
        </is>
      </c>
      <c r="D11" s="10" t="inlineStr">
        <is>
          <t>Case of 8 x 68 fl.oz</t>
        </is>
      </c>
      <c r="E11" s="10" t="inlineStr">
        <is>
          <t>2 L bottle</t>
        </is>
      </c>
      <c r="F11" s="11" t="n">
        <v>10.375</v>
      </c>
      <c r="G11" s="11" t="n">
        <v>15.1686161764706</v>
      </c>
      <c r="H11" s="11" t="n">
        <v>15.6</v>
      </c>
      <c r="I11" s="29" t="n">
        <v>0.02765280920060254</v>
      </c>
      <c r="J11" s="13" t="n">
        <v>21.7</v>
      </c>
      <c r="K11" s="30" t="n">
        <v>0.3009854296557327</v>
      </c>
      <c r="L11" s="15" t="n">
        <v>3</v>
      </c>
      <c r="M11" s="31" t="n">
        <v>46.8</v>
      </c>
      <c r="N11" s="32" t="n">
        <v>65.09999999999999</v>
      </c>
      <c r="O11" s="31" t="n">
        <v>1.294151470588197</v>
      </c>
      <c r="P11" s="32" t="n">
        <v>19.59415147058819</v>
      </c>
    </row>
    <row r="12">
      <c r="B12" s="10" t="inlineStr">
        <is>
          <t>Peach Syrup</t>
        </is>
      </c>
      <c r="C12" s="10" t="inlineStr">
        <is>
          <t>Boduo</t>
        </is>
      </c>
      <c r="D12" s="10" t="inlineStr">
        <is>
          <t>Case of 8 x 68 fl.oz</t>
        </is>
      </c>
      <c r="E12" s="10" t="inlineStr">
        <is>
          <t>2 L bottle</t>
        </is>
      </c>
      <c r="F12" s="11" t="n">
        <v>11.25</v>
      </c>
      <c r="G12" s="11" t="n">
        <v>16.4478970588235</v>
      </c>
      <c r="H12" s="11" t="n">
        <v>16.8</v>
      </c>
      <c r="I12" s="29" t="n">
        <v>0.02095850840336313</v>
      </c>
      <c r="J12" s="13" t="n">
        <v>23.4969957983193</v>
      </c>
      <c r="K12" s="30" t="n">
        <v>0.3000000000000004</v>
      </c>
      <c r="L12" s="15" t="n">
        <v>2</v>
      </c>
      <c r="M12" s="31" t="n">
        <v>33.6</v>
      </c>
      <c r="N12" s="32" t="n">
        <v>46.9939915966386</v>
      </c>
      <c r="O12" s="31" t="n">
        <v>0.7042058823530013</v>
      </c>
      <c r="P12" s="32" t="n">
        <v>14.0981974789916</v>
      </c>
    </row>
    <row r="13">
      <c r="B13" s="5" t="inlineStr">
        <is>
          <t>Fructose Syrup</t>
        </is>
      </c>
      <c r="C13" s="5" t="inlineStr">
        <is>
          <t>Boduo</t>
        </is>
      </c>
      <c r="D13" s="5" t="inlineStr">
        <is>
          <t>Case of 8 x 68 fl.oz</t>
        </is>
      </c>
      <c r="E13" s="5" t="inlineStr">
        <is>
          <t>2 L bottle</t>
        </is>
      </c>
      <c r="F13" s="6" t="n">
        <v>6.375</v>
      </c>
      <c r="G13" s="6" t="n">
        <v>9.320475</v>
      </c>
      <c r="H13" s="6" t="n">
        <v>13.5</v>
      </c>
      <c r="I13" s="26" t="n">
        <v>0.3095944444444444</v>
      </c>
      <c r="J13" s="8" t="n">
        <v>13.5</v>
      </c>
      <c r="K13" s="26" t="n">
        <v>0.3095944444444444</v>
      </c>
      <c r="L13" s="9" t="n">
        <v>1.5</v>
      </c>
      <c r="M13" s="27" t="n">
        <v>20.25</v>
      </c>
      <c r="N13" s="28" t="n">
        <v>20.25</v>
      </c>
      <c r="O13" s="27" t="n">
        <v>6.269287500000001</v>
      </c>
      <c r="P13" s="28" t="n">
        <v>6.269287500000001</v>
      </c>
    </row>
    <row r="14">
      <c r="B14" s="10" t="inlineStr">
        <is>
          <t>Fast Cook Tapioca Boba</t>
        </is>
      </c>
      <c r="C14" s="10" t="inlineStr">
        <is>
          <t>Troika</t>
        </is>
      </c>
      <c r="D14" s="10" t="inlineStr">
        <is>
          <t>Bag (2.2 lbs)</t>
        </is>
      </c>
      <c r="E14" s="10" t="inlineStr">
        <is>
          <t>1 kg bag</t>
        </is>
      </c>
      <c r="F14" s="11" t="n">
        <v>5</v>
      </c>
      <c r="G14" s="11" t="n">
        <v>6.16913467611762</v>
      </c>
      <c r="H14" s="11" t="n">
        <v>6.6</v>
      </c>
      <c r="I14" s="29" t="n">
        <v>0.06528262483066355</v>
      </c>
      <c r="J14" s="13" t="n">
        <v>9</v>
      </c>
      <c r="K14" s="30" t="n">
        <v>0.3145405915424866</v>
      </c>
      <c r="L14" s="15" t="n">
        <v>1.5</v>
      </c>
      <c r="M14" s="31" t="n">
        <v>9.899999999999999</v>
      </c>
      <c r="N14" s="32" t="n">
        <v>13.5</v>
      </c>
      <c r="O14" s="31" t="n">
        <v>0.6462979858235691</v>
      </c>
      <c r="P14" s="32" t="n">
        <v>4.246297985823571</v>
      </c>
    </row>
    <row r="15">
      <c r="B15" s="16" t="inlineStr">
        <is>
          <t>MONTHLY TOTAL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33" t="n">
        <v>548.6999999999999</v>
      </c>
      <c r="N15" s="33" t="n">
        <v>651.5939915966386</v>
      </c>
      <c r="O15" s="33" t="n">
        <v>103.3324649823206</v>
      </c>
      <c r="P15" s="33" t="n">
        <v>206.2264565789592</v>
      </c>
    </row>
    <row r="16">
      <c r="B16" s="2" t="inlineStr">
        <is>
          <t>Highlighted rows already exceed a 30% gross margin and keep their current price — no increase applied.</t>
        </is>
      </c>
    </row>
    <row r="18">
      <c r="B18" s="19" t="inlineStr">
        <is>
          <t>HEADLINE — ONE RESTAURANT, PER MONTH</t>
        </is>
      </c>
    </row>
    <row r="19">
      <c r="B19" s="20" t="n"/>
      <c r="C19" s="20" t="inlineStr">
        <is>
          <t>Now</t>
        </is>
      </c>
      <c r="D19" s="20" t="inlineStr">
        <is>
          <t>After price change</t>
        </is>
      </c>
      <c r="E19" s="20" t="inlineStr">
        <is>
          <t>Change</t>
        </is>
      </c>
      <c r="F19" s="20" t="inlineStr">
        <is>
          <t>% change</t>
        </is>
      </c>
    </row>
    <row r="20">
      <c r="B20" s="10" t="inlineStr">
        <is>
          <t>Restaurant monthly bill</t>
        </is>
      </c>
      <c r="C20" s="34" t="n">
        <v>548.6999999999999</v>
      </c>
      <c r="D20" s="34" t="n">
        <v>651.5939915966386</v>
      </c>
      <c r="E20" s="34" t="n">
        <v>102.8939915966387</v>
      </c>
      <c r="F20" s="35" t="n">
        <v>0.1875232214263507</v>
      </c>
    </row>
    <row r="21">
      <c r="B21" s="10" t="inlineStr">
        <is>
          <t>Our cost of goods (landed)</t>
        </is>
      </c>
      <c r="C21" s="34" t="n">
        <v>445.3675350176794</v>
      </c>
      <c r="D21" s="34" t="n">
        <v>445.3675350176794</v>
      </c>
      <c r="E21" s="34" t="n">
        <v>0</v>
      </c>
      <c r="F21" s="35" t="n">
        <v>0</v>
      </c>
    </row>
    <row r="22">
      <c r="B22" s="23" t="inlineStr">
        <is>
          <t>Our gross income</t>
        </is>
      </c>
      <c r="C22" s="36" t="n">
        <v>103.3324649823206</v>
      </c>
      <c r="D22" s="36" t="n">
        <v>206.2264565789592</v>
      </c>
      <c r="E22" s="36" t="n">
        <v>102.8939915966386</v>
      </c>
      <c r="F22" s="37" t="n">
        <v>0.9957566735124623</v>
      </c>
    </row>
    <row r="23">
      <c r="B23" s="16" t="inlineStr">
        <is>
          <t>Gross margin</t>
        </is>
      </c>
      <c r="C23" s="35" t="n">
        <v>0.1883223345768556</v>
      </c>
      <c r="D23" s="35" t="n">
        <v>0.3164953318148784</v>
      </c>
      <c r="E23" s="35" t="n">
        <v>0.1281729972380229</v>
      </c>
      <c r="F23" s="17" t="n"/>
    </row>
    <row r="24">
      <c r="B24" s="2" t="inlineStr">
        <is>
          <t>Our cost does not change, so every dollar of the increase falls straight through to gross profit.</t>
        </is>
      </c>
    </row>
    <row r="26">
      <c r="B26" s="19" t="inlineStr">
        <is>
          <t>BASIS &amp; ASSUMPTIONS</t>
        </is>
      </c>
    </row>
    <row r="27">
      <c r="B27" s="2" t="inlineStr">
        <is>
          <t>• Gross margin = (price - landed cost) / price. Landed cost = supplier price plus that lane's freight, allocated in proportion to each item's dollar value.</t>
        </is>
      </c>
    </row>
    <row r="28">
      <c r="B28" s="2" t="inlineStr">
        <is>
          <t>• Freight is 23.1% of total landed spend. By lane: Boduo 46.2% on top of goods, TianYi 27.7%, Troika 23.4%.</t>
        </is>
      </c>
    </row>
    <row r="29">
      <c r="B29" s="2" t="inlineStr">
        <is>
          <t>• PRO-RATED — Pop boba: 1 can per flavour across 3 flavours, depleting over 1.5 months = 2.0 cans per month.</t>
        </is>
      </c>
    </row>
    <row r="30">
      <c r="B30" s="2" t="inlineStr">
        <is>
          <t>• PRO-RATED — Cups / lids / straws: 400 pieces consumed against a 500-piece selling set = 0.8 sets per month. The basket is sized to 400 cups served per month.</t>
        </is>
      </c>
    </row>
    <row r="31">
      <c r="B31" s="2" t="inlineStr">
        <is>
          <t>• EXCLUDED — Cup carriers are a single-use, as-ordered purchase and are not part of the monthly bill.</t>
        </is>
      </c>
    </row>
    <row r="32">
      <c r="B32" s="2" t="inlineStr">
        <is>
          <t>• Tea is read as 3-4 bags EACH for black and green. If that figure was combined across both, halve those two lines.</t>
        </is>
      </c>
    </row>
    <row r="33">
      <c r="B33" s="2" t="inlineStr">
        <is>
          <t>• Tea case costs: black $136.50 / 15 bags, green $166.50 / 15 bags. Fast Cook Tapioca at the revised $5.00 / kg.</t>
        </is>
      </c>
    </row>
    <row r="34">
      <c r="B34" s="2" t="inlineStr">
        <is>
          <t>• Ice Blanc cost is blended across three orders ($60 and $86 per box). If $86 is the going rate, its margin falls to about 27%.</t>
        </is>
      </c>
    </row>
    <row r="35">
      <c r="B35" s="2" t="inlineStr">
        <is>
          <t>• Cups are currently at a promotional supplier rate of $94 / 1000. At list price the cups / lids / straws margin will be lower.</t>
        </is>
      </c>
    </row>
    <row r="36">
      <c r="B36" s="2" t="inlineStr">
        <is>
          <t>• Derek's DDP quote is excluded from this summary — US domestic suppliers only, as requested.</t>
        </is>
      </c>
    </row>
  </sheetData>
  <conditionalFormatting sqref="I5:I14">
    <cfRule type="cellIs" priority="2" operator="lessThan" dxfId="0">
      <formula>0</formula>
    </cfRule>
  </conditionalFormatting>
  <conditionalFormatting sqref="K5:K14">
    <cfRule type="cellIs" priority="3" operator="lessThan" dxfId="0">
      <formula>0</formula>
    </cfRule>
  </conditionalFormatting>
  <conditionalFormatting sqref="P5:Q14">
    <cfRule type="cellIs" priority="4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2026-08-05T21:46:38Z</dcterms:created>
  <dcterms:modified xmlns:dcterms="http://purl.org/dc/terms/" xmlns:xsi="http://www.w3.org/2001/XMLSchema-instance" xsi:type="dcterms:W3CDTF">2026-08-05T23:26:24Z</dcterms:modified>
  <cp:lastModifiedBy>Chengyan Fang</cp:lastModifiedBy>
  <cp:revision>0</cp:revision>
</cp:coreProperties>
</file>